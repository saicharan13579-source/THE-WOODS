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560" windowHeight="11460"/>
  </bookViews>
  <sheets>
    <sheet name="CABLE SCHEDULE" sheetId="1" r:id="rId1"/>
  </sheets>
  <definedNames>
    <definedName name="_xlnm.Print_Area" localSheetId="0">'CABLE SCHEDULE'!$A$1:$M$114</definedName>
    <definedName name="_xlnm.Print_Titles" localSheetId="0">'CABLE SCHEDULE'!$7:$7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G23" i="1"/>
  <c r="K22" i="1"/>
  <c r="M22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M49" i="1" l="1"/>
  <c r="M50" i="1"/>
  <c r="K18" i="1" l="1"/>
  <c r="M18" i="1" s="1"/>
  <c r="K15" i="1"/>
  <c r="M15" i="1" s="1"/>
  <c r="E23" i="1" l="1"/>
  <c r="E16" i="1"/>
  <c r="K25" i="1"/>
  <c r="M25" i="1" s="1"/>
  <c r="P13" i="1" s="1"/>
  <c r="K9" i="1" l="1"/>
  <c r="M9" i="1" s="1"/>
  <c r="K108" i="1"/>
  <c r="M108" i="1" s="1"/>
  <c r="K107" i="1"/>
  <c r="M107" i="1" s="1"/>
  <c r="K106" i="1"/>
  <c r="M106" i="1" s="1"/>
  <c r="K105" i="1"/>
  <c r="M105" i="1" s="1"/>
  <c r="K104" i="1"/>
  <c r="M104" i="1" s="1"/>
  <c r="K103" i="1"/>
  <c r="M103" i="1" s="1"/>
  <c r="K102" i="1"/>
  <c r="M102" i="1" s="1"/>
  <c r="K101" i="1"/>
  <c r="M101" i="1" s="1"/>
  <c r="K100" i="1"/>
  <c r="M100" i="1" s="1"/>
  <c r="K99" i="1"/>
  <c r="M99" i="1" s="1"/>
  <c r="K98" i="1"/>
  <c r="M98" i="1" s="1"/>
  <c r="K97" i="1"/>
  <c r="M97" i="1" s="1"/>
  <c r="K96" i="1"/>
  <c r="M96" i="1" s="1"/>
  <c r="K95" i="1"/>
  <c r="M95" i="1" s="1"/>
  <c r="K94" i="1"/>
  <c r="M94" i="1" s="1"/>
  <c r="K93" i="1"/>
  <c r="M93" i="1" s="1"/>
  <c r="K91" i="1"/>
  <c r="M91" i="1" s="1"/>
  <c r="K90" i="1"/>
  <c r="M90" i="1" s="1"/>
  <c r="K89" i="1"/>
  <c r="M89" i="1" s="1"/>
  <c r="K88" i="1"/>
  <c r="M88" i="1" s="1"/>
  <c r="K87" i="1"/>
  <c r="M87" i="1" s="1"/>
  <c r="K86" i="1"/>
  <c r="M86" i="1" s="1"/>
  <c r="K85" i="1"/>
  <c r="M85" i="1" s="1"/>
  <c r="K84" i="1"/>
  <c r="M84" i="1" s="1"/>
  <c r="K83" i="1"/>
  <c r="M83" i="1" s="1"/>
  <c r="K82" i="1"/>
  <c r="M82" i="1" s="1"/>
  <c r="K81" i="1"/>
  <c r="M81" i="1" s="1"/>
  <c r="K80" i="1"/>
  <c r="M80" i="1" s="1"/>
  <c r="K78" i="1"/>
  <c r="M78" i="1" s="1"/>
  <c r="K77" i="1"/>
  <c r="M77" i="1" s="1"/>
  <c r="K76" i="1"/>
  <c r="M76" i="1" s="1"/>
  <c r="K75" i="1"/>
  <c r="M75" i="1" s="1"/>
  <c r="K74" i="1"/>
  <c r="M74" i="1" s="1"/>
  <c r="K73" i="1"/>
  <c r="M73" i="1" s="1"/>
  <c r="K72" i="1"/>
  <c r="M72" i="1" s="1"/>
  <c r="K71" i="1"/>
  <c r="M71" i="1" s="1"/>
  <c r="K70" i="1"/>
  <c r="M70" i="1" s="1"/>
  <c r="K69" i="1"/>
  <c r="M69" i="1" s="1"/>
  <c r="K68" i="1"/>
  <c r="M68" i="1" s="1"/>
  <c r="K67" i="1"/>
  <c r="M67" i="1" s="1"/>
  <c r="K65" i="1"/>
  <c r="M65" i="1" s="1"/>
  <c r="K64" i="1"/>
  <c r="M64" i="1" s="1"/>
  <c r="K63" i="1"/>
  <c r="M63" i="1" s="1"/>
  <c r="K62" i="1"/>
  <c r="M62" i="1" s="1"/>
  <c r="K61" i="1"/>
  <c r="M61" i="1" s="1"/>
  <c r="K60" i="1"/>
  <c r="M60" i="1" s="1"/>
  <c r="K59" i="1"/>
  <c r="M59" i="1" s="1"/>
  <c r="K58" i="1"/>
  <c r="M58" i="1" s="1"/>
  <c r="K57" i="1"/>
  <c r="M57" i="1" s="1"/>
  <c r="K56" i="1"/>
  <c r="M56" i="1" s="1"/>
  <c r="K55" i="1"/>
  <c r="M55" i="1" s="1"/>
  <c r="K54" i="1"/>
  <c r="M54" i="1" s="1"/>
  <c r="K53" i="1"/>
  <c r="M53" i="1" s="1"/>
  <c r="K13" i="1"/>
  <c r="M109" i="1" l="1"/>
  <c r="K21" i="1"/>
  <c r="M21" i="1" s="1"/>
  <c r="K20" i="1"/>
  <c r="M20" i="1" s="1"/>
  <c r="G14" i="1"/>
  <c r="G20" i="1"/>
  <c r="G21" i="1"/>
  <c r="G13" i="1"/>
  <c r="G16" i="1" s="1"/>
  <c r="K14" i="1"/>
  <c r="M14" i="1" s="1"/>
  <c r="M13" i="1"/>
  <c r="K11" i="1" l="1"/>
  <c r="M11" i="1" s="1"/>
</calcChain>
</file>

<file path=xl/sharedStrings.xml><?xml version="1.0" encoding="utf-8"?>
<sst xmlns="http://schemas.openxmlformats.org/spreadsheetml/2006/main" count="256" uniqueCount="116">
  <si>
    <t>FROM</t>
  </si>
  <si>
    <t>TO</t>
  </si>
  <si>
    <t>CABLE SIZE</t>
  </si>
  <si>
    <t>S.NO</t>
  </si>
  <si>
    <t>DISTANCE In Mtrs</t>
  </si>
  <si>
    <t>No.Of Runs</t>
  </si>
  <si>
    <t>Total Length In Mtrs</t>
  </si>
  <si>
    <t>No.Of Villas</t>
  </si>
  <si>
    <t>TOTAL LOAD</t>
  </si>
  <si>
    <t>TITLE : CABLE SCHEDULE</t>
  </si>
  <si>
    <t>MAIN PCC PANEL</t>
  </si>
  <si>
    <t>COMMON SERVICES PANEL</t>
  </si>
  <si>
    <t>Length In Mtrs</t>
  </si>
  <si>
    <t>Cable Loop</t>
  </si>
  <si>
    <t>FEEDER PILLAR-1 (1-12,12A)</t>
  </si>
  <si>
    <t>FEEDER PILLAR-4 (38-53)</t>
  </si>
  <si>
    <t>FEEDER PILLAR-2 (19-30)</t>
  </si>
  <si>
    <t>FEEDER PILLAR-3 (14-18+31-37)</t>
  </si>
  <si>
    <t>FEEDER PILLAR-1</t>
  </si>
  <si>
    <t>VILLA-1</t>
  </si>
  <si>
    <t>VILLA-2</t>
  </si>
  <si>
    <t>VILLA-3</t>
  </si>
  <si>
    <t>VILLA-4</t>
  </si>
  <si>
    <t>VILLA-5</t>
  </si>
  <si>
    <t>VILLA-6</t>
  </si>
  <si>
    <t>VILLA-7</t>
  </si>
  <si>
    <t>VILLA-8</t>
  </si>
  <si>
    <t>VILLA-9</t>
  </si>
  <si>
    <t>VILLA-10</t>
  </si>
  <si>
    <t>VILLA-11</t>
  </si>
  <si>
    <t>VILLA-12</t>
  </si>
  <si>
    <t>VILLA-12A</t>
  </si>
  <si>
    <t>4Cx25 Sq mm XLPE,AL,ARM.CABLE</t>
  </si>
  <si>
    <t>FEEDER PILLAR-2</t>
  </si>
  <si>
    <t>VILLA-19</t>
  </si>
  <si>
    <t>VILLA-20</t>
  </si>
  <si>
    <t>VILLA-21</t>
  </si>
  <si>
    <t>VILLA-22</t>
  </si>
  <si>
    <t>VILLA-23</t>
  </si>
  <si>
    <t>VILLA-24</t>
  </si>
  <si>
    <t>VILLA-25</t>
  </si>
  <si>
    <t>VILLA-26</t>
  </si>
  <si>
    <t>VILLA-27</t>
  </si>
  <si>
    <t>VILLA-28</t>
  </si>
  <si>
    <t>VILLA-29</t>
  </si>
  <si>
    <t>VILLA-30</t>
  </si>
  <si>
    <t>VILLA-31</t>
  </si>
  <si>
    <t>FEEDER PILLAR-3</t>
  </si>
  <si>
    <t>VILLA-14</t>
  </si>
  <si>
    <t>VILLA-15</t>
  </si>
  <si>
    <t>VILLA-16</t>
  </si>
  <si>
    <t>VILLA-17</t>
  </si>
  <si>
    <t>VILLA-18</t>
  </si>
  <si>
    <t>VILLA-32</t>
  </si>
  <si>
    <t>VILLA-33</t>
  </si>
  <si>
    <t>VILLA-34</t>
  </si>
  <si>
    <t>VILLA-35</t>
  </si>
  <si>
    <t>VILLA-36</t>
  </si>
  <si>
    <t>VILLA-37</t>
  </si>
  <si>
    <t>FEEDER PILLAR-4</t>
  </si>
  <si>
    <t>VILLA-38</t>
  </si>
  <si>
    <t>VILLA-39</t>
  </si>
  <si>
    <t>VILLA-40</t>
  </si>
  <si>
    <t>VILLA-41</t>
  </si>
  <si>
    <t>VILLA-42</t>
  </si>
  <si>
    <t>VILLA-43</t>
  </si>
  <si>
    <t>VILLA-44</t>
  </si>
  <si>
    <t>VILLA-45</t>
  </si>
  <si>
    <t>VILLA-46</t>
  </si>
  <si>
    <t>VILLA-47</t>
  </si>
  <si>
    <t>VILLA-48</t>
  </si>
  <si>
    <t>VILLA-49</t>
  </si>
  <si>
    <t>VILLA-50</t>
  </si>
  <si>
    <t>VILLA-51</t>
  </si>
  <si>
    <t>VILLA-52</t>
  </si>
  <si>
    <t>VILLA-53</t>
  </si>
  <si>
    <t>INCOMING 11kV HT CABLE</t>
  </si>
  <si>
    <t>11KV SINGLE POLE</t>
  </si>
  <si>
    <t>11KV TR YARD</t>
  </si>
  <si>
    <t>3.5Cx95 Sq mm XLPE,AL,ARM.CABLE</t>
  </si>
  <si>
    <t>CL LOAD in KW for Villa</t>
  </si>
  <si>
    <t>CL LOAD in KW</t>
  </si>
  <si>
    <t>STREET LIGHTING KIOSK</t>
  </si>
  <si>
    <t>C.S PANEL</t>
  </si>
  <si>
    <t>LOOP-1</t>
  </si>
  <si>
    <t>LOOP-2</t>
  </si>
  <si>
    <t>LOOP-3</t>
  </si>
  <si>
    <t>LOOP-4</t>
  </si>
  <si>
    <t>LOOP-5</t>
  </si>
  <si>
    <t>LOOP-6</t>
  </si>
  <si>
    <t>LOOP-7</t>
  </si>
  <si>
    <t>LOOP-8</t>
  </si>
  <si>
    <t>LOOP-9</t>
  </si>
  <si>
    <t>LOOP-10</t>
  </si>
  <si>
    <t>LOOP-11</t>
  </si>
  <si>
    <t>LOOP-12</t>
  </si>
  <si>
    <t>LOOP-13</t>
  </si>
  <si>
    <t>LOOP-14</t>
  </si>
  <si>
    <t>LOOP-15</t>
  </si>
  <si>
    <t>LOOP-16</t>
  </si>
  <si>
    <t>LOOP-17</t>
  </si>
  <si>
    <t>LOOP-18</t>
  </si>
  <si>
    <t>4Cx16 Sq mm XLPE,AL,ARM.CABLE</t>
  </si>
  <si>
    <t>MAIN PCC PANEL-1</t>
  </si>
  <si>
    <t>100kVA TRANSFORMER-1</t>
  </si>
  <si>
    <t>100kVA TRANSFORMER-2</t>
  </si>
  <si>
    <t>MAIN PCC PANEL-2</t>
  </si>
  <si>
    <t>3Cx185 Sq mm XLPE,AL,ARM.CABLE</t>
  </si>
  <si>
    <t>3.5Cx185 Sq mm XLPE,AL,ARM.CABLE</t>
  </si>
  <si>
    <t>100KVA DG SET</t>
  </si>
  <si>
    <t>CLUB HOUSE PANEL</t>
  </si>
  <si>
    <t>DG PANEL</t>
  </si>
  <si>
    <t>4Cx4.0 Sq mm YWY,Cu,ARM.CABLE</t>
  </si>
  <si>
    <t>4Cx6.0 Sq mm YWY,Cu,ARM.CABLE</t>
  </si>
  <si>
    <t>DATE:01-06-2026</t>
  </si>
  <si>
    <t xml:space="preserve">PROJECT : PROPOSED WOODS VILLAS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</si>
</sst>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FF0066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5" xfId="0" applyBorder="1"/>
    <xf numFmtId="0" fontId="1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FF"/>
      <color rgb="FF0000FF"/>
      <color rgb="FFFF0066"/>
      <color rgb="FF005400"/>
      <color rgb="FF006600"/>
      <color rgb="FF003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10"/>
  <sheetViews>
    <sheetView tabSelected="1" view="pageBreakPreview" topLeftCell="A37" zoomScaleSheetLayoutView="100" workbookViewId="0">
      <selection activeCell="G50" sqref="G50"/>
    </sheetView>
  </sheetViews>
  <sheetFormatPr defaultRowHeight="15" x14ac:dyDescent="0.25"/>
  <cols>
    <col min="1" max="1" width="2" customWidth="1"/>
    <col min="2" max="2" width="5.42578125" customWidth="1"/>
    <col min="3" max="3" width="23.5703125" customWidth="1"/>
    <col min="4" max="4" width="28.140625" customWidth="1"/>
    <col min="5" max="5" width="5.7109375" customWidth="1"/>
    <col min="6" max="6" width="7.85546875" customWidth="1"/>
    <col min="7" max="7" width="6.42578125" customWidth="1"/>
    <col min="8" max="8" width="33.85546875" customWidth="1"/>
    <col min="9" max="9" width="10" customWidth="1"/>
    <col min="10" max="10" width="6.140625" customWidth="1"/>
    <col min="11" max="12" width="7.85546875" customWidth="1"/>
    <col min="13" max="13" width="8.42578125" customWidth="1"/>
    <col min="14" max="14" width="7.42578125" customWidth="1"/>
    <col min="15" max="15" width="9.7109375" customWidth="1"/>
    <col min="16" max="16" width="7.42578125" customWidth="1"/>
    <col min="17" max="17" width="4.42578125" customWidth="1"/>
    <col min="18" max="18" width="9.140625" customWidth="1"/>
    <col min="19" max="19" width="5" customWidth="1"/>
    <col min="20" max="20" width="9.140625" customWidth="1"/>
  </cols>
  <sheetData>
    <row r="1" spans="2:20" ht="17.45" customHeight="1" x14ac:dyDescent="0.25">
      <c r="B1" s="2"/>
      <c r="C1" s="37"/>
      <c r="D1" s="38"/>
      <c r="E1" s="38"/>
      <c r="F1" s="38"/>
      <c r="G1" s="38"/>
      <c r="H1" s="38"/>
      <c r="I1" s="38"/>
      <c r="J1" s="38"/>
      <c r="K1" s="39"/>
      <c r="L1" s="20"/>
      <c r="M1" s="2"/>
    </row>
    <row r="2" spans="2:20" ht="19.5" customHeight="1" x14ac:dyDescent="0.25">
      <c r="B2" s="2"/>
      <c r="C2" s="34" t="s">
        <v>115</v>
      </c>
      <c r="D2" s="35"/>
      <c r="E2" s="35"/>
      <c r="F2" s="35"/>
      <c r="G2" s="35"/>
      <c r="H2" s="35"/>
      <c r="I2" s="36"/>
      <c r="J2" s="2"/>
      <c r="K2" s="2"/>
      <c r="L2" s="2"/>
      <c r="M2" s="2"/>
    </row>
    <row r="3" spans="2:20" ht="36.75" customHeight="1" x14ac:dyDescent="0.25">
      <c r="B3" s="2"/>
      <c r="C3" s="34"/>
      <c r="D3" s="35"/>
      <c r="E3" s="35"/>
      <c r="F3" s="35"/>
      <c r="G3" s="35"/>
      <c r="H3" s="35"/>
      <c r="I3" s="36"/>
      <c r="J3" s="2"/>
      <c r="K3" s="2"/>
      <c r="L3" s="2"/>
      <c r="M3" s="2"/>
    </row>
    <row r="4" spans="2:20" ht="17.45" customHeight="1" x14ac:dyDescent="0.25">
      <c r="B4" s="2"/>
      <c r="C4" s="34" t="s">
        <v>9</v>
      </c>
      <c r="D4" s="35"/>
      <c r="E4" s="35"/>
      <c r="F4" s="35"/>
      <c r="G4" s="35"/>
      <c r="H4" s="35"/>
      <c r="I4" s="36"/>
      <c r="J4" s="2"/>
      <c r="K4" s="2"/>
      <c r="L4" s="2"/>
      <c r="M4" s="2"/>
      <c r="N4" s="33"/>
      <c r="O4" s="33"/>
      <c r="P4" s="33"/>
      <c r="Q4" s="33"/>
      <c r="R4" s="33"/>
      <c r="S4" s="33"/>
      <c r="T4" s="33"/>
    </row>
    <row r="5" spans="2:20" ht="18.75" customHeight="1" x14ac:dyDescent="0.25">
      <c r="B5" s="2"/>
      <c r="C5" s="34" t="s">
        <v>114</v>
      </c>
      <c r="D5" s="35"/>
      <c r="E5" s="35"/>
      <c r="F5" s="35"/>
      <c r="G5" s="35"/>
      <c r="H5" s="35"/>
      <c r="I5" s="36"/>
      <c r="J5" s="2"/>
      <c r="K5" s="2"/>
      <c r="L5" s="2"/>
      <c r="M5" s="2"/>
      <c r="N5" s="33"/>
      <c r="O5" s="33"/>
      <c r="P5" s="33"/>
      <c r="Q5" s="33"/>
      <c r="R5" s="33"/>
      <c r="S5" s="33"/>
      <c r="T5" s="33"/>
    </row>
    <row r="6" spans="2:20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3"/>
      <c r="O6" s="33"/>
      <c r="P6" s="33"/>
      <c r="Q6" s="33"/>
      <c r="R6" s="33"/>
      <c r="S6" s="33"/>
      <c r="T6" s="33"/>
    </row>
    <row r="7" spans="2:20" ht="50.45" customHeight="1" x14ac:dyDescent="0.25">
      <c r="B7" s="3" t="s">
        <v>3</v>
      </c>
      <c r="C7" s="3" t="s">
        <v>0</v>
      </c>
      <c r="D7" s="3" t="s">
        <v>1</v>
      </c>
      <c r="E7" s="4" t="s">
        <v>7</v>
      </c>
      <c r="F7" s="4" t="s">
        <v>80</v>
      </c>
      <c r="G7" s="4" t="s">
        <v>81</v>
      </c>
      <c r="H7" s="3" t="s">
        <v>2</v>
      </c>
      <c r="I7" s="4" t="s">
        <v>4</v>
      </c>
      <c r="J7" s="4" t="s">
        <v>5</v>
      </c>
      <c r="K7" s="4" t="s">
        <v>12</v>
      </c>
      <c r="L7" s="4" t="s">
        <v>13</v>
      </c>
      <c r="M7" s="4" t="s">
        <v>6</v>
      </c>
      <c r="N7" s="4"/>
      <c r="O7" s="4"/>
      <c r="P7" s="4"/>
      <c r="Q7" s="4"/>
      <c r="R7" s="4"/>
      <c r="S7" s="4"/>
      <c r="T7" s="4"/>
    </row>
    <row r="8" spans="2:20" ht="17.45" customHeight="1" x14ac:dyDescent="0.25">
      <c r="B8" s="9"/>
      <c r="C8" s="9" t="s">
        <v>76</v>
      </c>
      <c r="D8" s="9"/>
      <c r="E8" s="22"/>
      <c r="F8" s="22"/>
      <c r="G8" s="22"/>
      <c r="H8" s="9"/>
      <c r="I8" s="22"/>
      <c r="J8" s="22"/>
      <c r="K8" s="22"/>
      <c r="L8" s="22"/>
      <c r="M8" s="22"/>
      <c r="N8" s="4"/>
      <c r="O8" s="4"/>
      <c r="P8" s="4"/>
      <c r="Q8" s="4"/>
      <c r="R8" s="4"/>
      <c r="S8" s="4"/>
      <c r="T8" s="4"/>
    </row>
    <row r="9" spans="2:20" ht="26.1" customHeight="1" x14ac:dyDescent="0.25">
      <c r="B9" s="9">
        <v>1</v>
      </c>
      <c r="C9" s="9" t="s">
        <v>77</v>
      </c>
      <c r="D9" s="9" t="s">
        <v>78</v>
      </c>
      <c r="E9" s="22"/>
      <c r="F9" s="22"/>
      <c r="G9" s="22"/>
      <c r="H9" s="24" t="s">
        <v>107</v>
      </c>
      <c r="I9" s="27">
        <v>197</v>
      </c>
      <c r="J9" s="27">
        <v>2</v>
      </c>
      <c r="K9" s="27">
        <f>SUM(I9*J9)</f>
        <v>394</v>
      </c>
      <c r="L9" s="27">
        <v>6</v>
      </c>
      <c r="M9" s="27">
        <f>SUM(K9:L9)</f>
        <v>400</v>
      </c>
      <c r="N9" s="4"/>
      <c r="O9" s="4"/>
      <c r="P9" s="4"/>
      <c r="Q9" s="4"/>
      <c r="R9" s="25"/>
      <c r="S9" s="4"/>
      <c r="T9" s="25"/>
    </row>
    <row r="10" spans="2:20" ht="16.5" customHeight="1" x14ac:dyDescent="0.25">
      <c r="B10" s="9"/>
      <c r="C10" s="9"/>
      <c r="D10" s="9"/>
      <c r="E10" s="22"/>
      <c r="F10" s="22"/>
      <c r="G10" s="22"/>
      <c r="H10" s="9"/>
      <c r="I10" s="22"/>
      <c r="J10" s="22"/>
      <c r="K10" s="22"/>
      <c r="L10" s="22"/>
      <c r="M10" s="22"/>
      <c r="N10" s="4"/>
      <c r="O10" s="4"/>
      <c r="P10" s="4"/>
      <c r="Q10" s="4"/>
      <c r="R10" s="4"/>
      <c r="S10" s="4"/>
      <c r="T10" s="4"/>
    </row>
    <row r="11" spans="2:20" ht="20.100000000000001" customHeight="1" x14ac:dyDescent="0.25">
      <c r="B11" s="9">
        <v>1</v>
      </c>
      <c r="C11" s="29" t="s">
        <v>104</v>
      </c>
      <c r="D11" s="29" t="s">
        <v>103</v>
      </c>
      <c r="E11" s="29"/>
      <c r="F11" s="29"/>
      <c r="G11" s="9"/>
      <c r="H11" s="16" t="s">
        <v>108</v>
      </c>
      <c r="I11" s="17">
        <v>30</v>
      </c>
      <c r="J11" s="17">
        <v>1</v>
      </c>
      <c r="K11" s="17">
        <f>SUM(I11*J11)</f>
        <v>30</v>
      </c>
      <c r="L11" s="17">
        <v>4</v>
      </c>
      <c r="M11" s="17">
        <f>SUM(K11:L11)</f>
        <v>34</v>
      </c>
      <c r="N11" s="7"/>
      <c r="O11" s="4"/>
      <c r="P11" s="4"/>
      <c r="Q11" s="4"/>
      <c r="R11" s="25"/>
      <c r="S11" s="14"/>
      <c r="T11" s="14"/>
    </row>
    <row r="12" spans="2:20" ht="13.5" customHeight="1" x14ac:dyDescent="0.25">
      <c r="B12" s="1"/>
      <c r="C12" s="5"/>
      <c r="D12" s="5"/>
      <c r="E12" s="5"/>
      <c r="F12" s="5"/>
      <c r="G12" s="1"/>
      <c r="H12" s="10"/>
      <c r="I12" s="17"/>
      <c r="J12" s="17"/>
      <c r="K12" s="17"/>
      <c r="L12" s="17"/>
      <c r="M12" s="17"/>
      <c r="N12" s="7"/>
      <c r="O12" s="7"/>
      <c r="P12" s="2"/>
      <c r="Q12" s="2"/>
      <c r="R12" s="2"/>
      <c r="S12" s="2"/>
      <c r="T12" s="2"/>
    </row>
    <row r="13" spans="2:20" ht="20.100000000000001" customHeight="1" x14ac:dyDescent="0.25">
      <c r="B13" s="1">
        <v>2</v>
      </c>
      <c r="C13" s="5" t="s">
        <v>10</v>
      </c>
      <c r="D13" s="6" t="s">
        <v>14</v>
      </c>
      <c r="E13" s="1">
        <v>13</v>
      </c>
      <c r="F13" s="1">
        <v>3</v>
      </c>
      <c r="G13" s="9">
        <f>SUM(E13*F13)</f>
        <v>39</v>
      </c>
      <c r="H13" s="16" t="s">
        <v>108</v>
      </c>
      <c r="I13" s="17">
        <v>50</v>
      </c>
      <c r="J13" s="17">
        <v>1</v>
      </c>
      <c r="K13" s="17">
        <f>SUM(I13*J13)</f>
        <v>50</v>
      </c>
      <c r="L13" s="17">
        <v>4</v>
      </c>
      <c r="M13" s="17">
        <f t="shared" ref="M13:M22" si="0">SUM(K13:L13)</f>
        <v>54</v>
      </c>
      <c r="N13" s="15"/>
      <c r="O13" s="4"/>
      <c r="P13" s="4">
        <f>SUM(M11+M13+M14+M18+M20+M21+M25)</f>
        <v>1516</v>
      </c>
      <c r="Q13" s="4"/>
      <c r="R13" s="25"/>
      <c r="S13" s="14"/>
      <c r="T13" s="14"/>
    </row>
    <row r="14" spans="2:20" ht="20.100000000000001" customHeight="1" x14ac:dyDescent="0.25">
      <c r="B14" s="1">
        <v>3</v>
      </c>
      <c r="C14" s="5" t="s">
        <v>10</v>
      </c>
      <c r="D14" s="6" t="s">
        <v>16</v>
      </c>
      <c r="E14" s="1">
        <v>12</v>
      </c>
      <c r="F14" s="1">
        <v>3</v>
      </c>
      <c r="G14" s="9">
        <f t="shared" ref="G14:G21" si="1">SUM(E14*F14)</f>
        <v>36</v>
      </c>
      <c r="H14" s="16" t="s">
        <v>108</v>
      </c>
      <c r="I14" s="17">
        <v>98</v>
      </c>
      <c r="J14" s="17">
        <v>1</v>
      </c>
      <c r="K14" s="17">
        <f t="shared" ref="K14:K20" si="2">SUM(I14*J14)</f>
        <v>98</v>
      </c>
      <c r="L14" s="17">
        <v>4</v>
      </c>
      <c r="M14" s="17">
        <f t="shared" si="0"/>
        <v>102</v>
      </c>
      <c r="N14" s="15"/>
      <c r="O14" s="15"/>
      <c r="P14" s="2"/>
      <c r="Q14" s="2"/>
      <c r="R14" s="25"/>
      <c r="S14" s="14"/>
      <c r="T14" s="14"/>
    </row>
    <row r="15" spans="2:20" ht="20.100000000000001" customHeight="1" x14ac:dyDescent="0.25">
      <c r="B15" s="1">
        <v>4</v>
      </c>
      <c r="C15" s="5" t="s">
        <v>10</v>
      </c>
      <c r="D15" s="6" t="s">
        <v>11</v>
      </c>
      <c r="E15" s="1"/>
      <c r="F15" s="1"/>
      <c r="G15" s="9">
        <v>45</v>
      </c>
      <c r="H15" s="11" t="s">
        <v>79</v>
      </c>
      <c r="I15" s="8">
        <v>20</v>
      </c>
      <c r="J15" s="8">
        <v>1</v>
      </c>
      <c r="K15" s="8">
        <f t="shared" si="2"/>
        <v>20</v>
      </c>
      <c r="L15" s="8">
        <v>4</v>
      </c>
      <c r="M15" s="8">
        <f t="shared" ref="M15" si="3">SUM(K15:L15)</f>
        <v>24</v>
      </c>
      <c r="N15" s="15"/>
      <c r="O15" s="15"/>
      <c r="P15" s="2">
        <f>SUM(M15+M22)</f>
        <v>48</v>
      </c>
      <c r="Q15" s="2"/>
      <c r="R15" s="25"/>
      <c r="S15" s="14"/>
      <c r="T15" s="14"/>
    </row>
    <row r="16" spans="2:20" ht="20.100000000000001" customHeight="1" x14ac:dyDescent="0.25">
      <c r="B16" s="1"/>
      <c r="C16" s="5"/>
      <c r="D16" s="12" t="s">
        <v>8</v>
      </c>
      <c r="E16" s="18">
        <f>SUM(E6:E14)</f>
        <v>25</v>
      </c>
      <c r="F16" s="6"/>
      <c r="G16" s="13">
        <f>SUM(G13:G15)</f>
        <v>120</v>
      </c>
      <c r="H16" s="23"/>
      <c r="I16" s="26"/>
      <c r="J16" s="26"/>
      <c r="K16" s="26"/>
      <c r="L16" s="26"/>
      <c r="M16" s="26"/>
      <c r="N16" s="15"/>
      <c r="O16" s="15"/>
      <c r="P16" s="2"/>
      <c r="Q16" s="2"/>
      <c r="R16" s="25"/>
      <c r="S16" s="14"/>
      <c r="T16" s="14"/>
    </row>
    <row r="17" spans="2:20" ht="15.95" customHeight="1" x14ac:dyDescent="0.25">
      <c r="B17" s="1"/>
      <c r="C17" s="5"/>
      <c r="D17" s="18"/>
      <c r="E17" s="18"/>
      <c r="F17" s="6"/>
      <c r="G17" s="9"/>
      <c r="H17" s="23"/>
      <c r="I17" s="26"/>
      <c r="J17" s="26"/>
      <c r="K17" s="26"/>
      <c r="L17" s="26"/>
      <c r="M17" s="26"/>
      <c r="N17" s="15"/>
      <c r="O17" s="15"/>
      <c r="P17" s="2"/>
      <c r="Q17" s="2"/>
      <c r="R17" s="25"/>
      <c r="S17" s="14"/>
      <c r="T17" s="14"/>
    </row>
    <row r="18" spans="2:20" ht="20.100000000000001" customHeight="1" x14ac:dyDescent="0.25">
      <c r="B18" s="9">
        <v>1</v>
      </c>
      <c r="C18" s="29" t="s">
        <v>105</v>
      </c>
      <c r="D18" s="29" t="s">
        <v>106</v>
      </c>
      <c r="E18" s="29"/>
      <c r="F18" s="29"/>
      <c r="G18" s="9"/>
      <c r="H18" s="16" t="s">
        <v>108</v>
      </c>
      <c r="I18" s="17">
        <v>30</v>
      </c>
      <c r="J18" s="17">
        <v>1</v>
      </c>
      <c r="K18" s="17">
        <f>SUM(I18*J18)</f>
        <v>30</v>
      </c>
      <c r="L18" s="17">
        <v>4</v>
      </c>
      <c r="M18" s="17">
        <f>SUM(K18:L18)</f>
        <v>34</v>
      </c>
      <c r="N18" s="15"/>
      <c r="O18" s="15"/>
      <c r="P18" s="2"/>
      <c r="Q18" s="2"/>
      <c r="R18" s="25"/>
      <c r="S18" s="14"/>
      <c r="T18" s="14"/>
    </row>
    <row r="19" spans="2:20" ht="14.45" customHeight="1" x14ac:dyDescent="0.25">
      <c r="B19" s="1"/>
      <c r="C19" s="5"/>
      <c r="D19" s="6"/>
      <c r="E19" s="1"/>
      <c r="F19" s="1"/>
      <c r="G19" s="9"/>
      <c r="H19" s="23"/>
      <c r="I19" s="26"/>
      <c r="J19" s="26"/>
      <c r="K19" s="26"/>
      <c r="L19" s="26"/>
      <c r="M19" s="26"/>
      <c r="N19" s="15"/>
      <c r="O19" s="15"/>
      <c r="P19" s="2"/>
      <c r="Q19" s="2"/>
      <c r="R19" s="25"/>
      <c r="S19" s="14"/>
      <c r="T19" s="14"/>
    </row>
    <row r="20" spans="2:20" ht="20.100000000000001" customHeight="1" x14ac:dyDescent="0.25">
      <c r="B20" s="1">
        <v>1</v>
      </c>
      <c r="C20" s="5" t="s">
        <v>10</v>
      </c>
      <c r="D20" s="6" t="s">
        <v>17</v>
      </c>
      <c r="E20" s="1">
        <v>12</v>
      </c>
      <c r="F20" s="1">
        <v>3</v>
      </c>
      <c r="G20" s="9">
        <f t="shared" si="1"/>
        <v>36</v>
      </c>
      <c r="H20" s="16" t="s">
        <v>108</v>
      </c>
      <c r="I20" s="17">
        <v>275</v>
      </c>
      <c r="J20" s="17">
        <v>2</v>
      </c>
      <c r="K20" s="17">
        <f t="shared" si="2"/>
        <v>550</v>
      </c>
      <c r="L20" s="17">
        <v>4</v>
      </c>
      <c r="M20" s="17">
        <f t="shared" si="0"/>
        <v>554</v>
      </c>
      <c r="N20" s="8"/>
      <c r="O20" s="8"/>
      <c r="P20" s="2"/>
      <c r="Q20" s="2"/>
      <c r="R20" s="25"/>
      <c r="S20" s="14"/>
      <c r="T20" s="14"/>
    </row>
    <row r="21" spans="2:20" ht="18" customHeight="1" x14ac:dyDescent="0.25">
      <c r="B21" s="1">
        <v>2</v>
      </c>
      <c r="C21" s="5" t="s">
        <v>10</v>
      </c>
      <c r="D21" s="6" t="s">
        <v>15</v>
      </c>
      <c r="E21" s="1">
        <v>16</v>
      </c>
      <c r="F21" s="1">
        <v>3</v>
      </c>
      <c r="G21" s="9">
        <f t="shared" si="1"/>
        <v>48</v>
      </c>
      <c r="H21" s="16" t="s">
        <v>108</v>
      </c>
      <c r="I21" s="17">
        <v>350</v>
      </c>
      <c r="J21" s="17">
        <v>2</v>
      </c>
      <c r="K21" s="17">
        <f t="shared" ref="K21:K22" si="4">SUM(I21*J21)</f>
        <v>700</v>
      </c>
      <c r="L21" s="17">
        <v>4</v>
      </c>
      <c r="M21" s="17">
        <f t="shared" si="0"/>
        <v>704</v>
      </c>
      <c r="N21" s="8"/>
      <c r="O21" s="8"/>
      <c r="P21" s="2"/>
      <c r="Q21" s="2"/>
      <c r="R21" s="25"/>
      <c r="S21" s="14"/>
      <c r="T21" s="14"/>
    </row>
    <row r="22" spans="2:20" ht="16.5" customHeight="1" x14ac:dyDescent="0.25">
      <c r="B22" s="1">
        <v>3</v>
      </c>
      <c r="C22" s="5" t="s">
        <v>10</v>
      </c>
      <c r="D22" s="6" t="s">
        <v>110</v>
      </c>
      <c r="E22" s="1"/>
      <c r="F22" s="1"/>
      <c r="G22" s="9">
        <v>45</v>
      </c>
      <c r="H22" s="11" t="s">
        <v>79</v>
      </c>
      <c r="I22" s="8">
        <v>20</v>
      </c>
      <c r="J22" s="8">
        <v>1</v>
      </c>
      <c r="K22" s="8">
        <f t="shared" si="4"/>
        <v>20</v>
      </c>
      <c r="L22" s="8">
        <v>4</v>
      </c>
      <c r="M22" s="8">
        <f t="shared" si="0"/>
        <v>24</v>
      </c>
      <c r="N22" s="8"/>
      <c r="O22" s="8"/>
      <c r="P22" s="2"/>
      <c r="Q22" s="2"/>
      <c r="R22" s="14"/>
      <c r="S22" s="14"/>
      <c r="T22" s="14"/>
    </row>
    <row r="23" spans="2:20" ht="18.600000000000001" customHeight="1" x14ac:dyDescent="0.25">
      <c r="B23" s="1"/>
      <c r="C23" s="6"/>
      <c r="D23" s="12" t="s">
        <v>8</v>
      </c>
      <c r="E23" s="18">
        <f>SUM(E20:E22)</f>
        <v>28</v>
      </c>
      <c r="F23" s="6"/>
      <c r="G23" s="13">
        <f>SUM(G20:G22)</f>
        <v>129</v>
      </c>
      <c r="H23" s="11"/>
      <c r="I23" s="8"/>
      <c r="J23" s="8"/>
      <c r="K23" s="8"/>
      <c r="L23" s="8"/>
      <c r="M23" s="8"/>
      <c r="N23" s="8"/>
      <c r="O23" s="8"/>
      <c r="P23" s="2"/>
      <c r="Q23" s="2"/>
      <c r="R23" s="25"/>
      <c r="S23" s="2"/>
      <c r="T23" s="2"/>
    </row>
    <row r="24" spans="2:20" ht="15.95" customHeight="1" x14ac:dyDescent="0.25">
      <c r="B24" s="1"/>
      <c r="C24" s="6"/>
      <c r="D24" s="18"/>
      <c r="E24" s="18"/>
      <c r="F24" s="6"/>
      <c r="G24" s="9"/>
      <c r="H24" s="11"/>
      <c r="I24" s="8"/>
      <c r="J24" s="8">
        <v>1</v>
      </c>
      <c r="K24" s="8"/>
      <c r="L24" s="8"/>
      <c r="M24" s="8"/>
      <c r="N24" s="8"/>
      <c r="O24" s="8"/>
      <c r="P24" s="2"/>
      <c r="Q24" s="2"/>
      <c r="R24" s="2"/>
      <c r="S24" s="2"/>
      <c r="T24" s="2"/>
    </row>
    <row r="25" spans="2:20" ht="20.100000000000001" customHeight="1" x14ac:dyDescent="0.25">
      <c r="B25" s="1">
        <v>1</v>
      </c>
      <c r="C25" s="5" t="s">
        <v>109</v>
      </c>
      <c r="D25" s="5" t="s">
        <v>111</v>
      </c>
      <c r="E25" s="5"/>
      <c r="F25" s="5"/>
      <c r="G25" s="9"/>
      <c r="H25" s="16" t="s">
        <v>108</v>
      </c>
      <c r="I25" s="16">
        <v>30</v>
      </c>
      <c r="J25" s="16">
        <v>1</v>
      </c>
      <c r="K25" s="16">
        <f>SUM(I25*J25)</f>
        <v>30</v>
      </c>
      <c r="L25" s="16">
        <v>4</v>
      </c>
      <c r="M25" s="16">
        <f>SUM(K25:L25)</f>
        <v>34</v>
      </c>
      <c r="N25" s="15"/>
      <c r="O25" s="15"/>
      <c r="P25" s="2"/>
      <c r="Q25" s="2"/>
      <c r="R25" s="2"/>
      <c r="S25" s="2"/>
      <c r="T25" s="2"/>
    </row>
    <row r="26" spans="2:20" ht="20.100000000000001" customHeight="1" x14ac:dyDescent="0.25">
      <c r="B26" s="1"/>
      <c r="C26" s="5"/>
      <c r="D26" s="5"/>
      <c r="E26" s="5"/>
      <c r="F26" s="5"/>
      <c r="G26" s="9"/>
      <c r="H26" s="30"/>
      <c r="I26" s="31"/>
      <c r="J26" s="31"/>
      <c r="K26" s="31"/>
      <c r="L26" s="31"/>
      <c r="M26" s="31"/>
      <c r="N26" s="15"/>
      <c r="O26" s="15"/>
      <c r="P26" s="2"/>
      <c r="Q26" s="2"/>
      <c r="R26" s="2"/>
      <c r="S26" s="2"/>
      <c r="T26" s="2"/>
    </row>
    <row r="27" spans="2:20" ht="20.100000000000001" customHeight="1" x14ac:dyDescent="0.25">
      <c r="B27" s="2"/>
      <c r="C27" s="6" t="s">
        <v>83</v>
      </c>
      <c r="D27" s="6" t="s">
        <v>82</v>
      </c>
      <c r="E27" s="2"/>
      <c r="F27" s="2"/>
      <c r="G27" s="2"/>
      <c r="H27" s="16" t="s">
        <v>32</v>
      </c>
      <c r="I27" s="17">
        <v>55</v>
      </c>
      <c r="J27" s="17">
        <v>1</v>
      </c>
      <c r="K27" s="17">
        <f t="shared" ref="K27:K35" si="5">SUM(I27*J27)</f>
        <v>55</v>
      </c>
      <c r="L27" s="17">
        <v>3</v>
      </c>
      <c r="M27" s="17">
        <f t="shared" ref="M27:M35" si="6">SUM(K27:L27)</f>
        <v>58</v>
      </c>
      <c r="N27" s="17"/>
      <c r="O27" s="17"/>
      <c r="P27" s="2"/>
      <c r="Q27" s="2"/>
      <c r="R27" s="25"/>
      <c r="S27" s="2"/>
      <c r="T27" s="2"/>
    </row>
    <row r="28" spans="2:20" ht="20.100000000000001" customHeight="1" x14ac:dyDescent="0.25">
      <c r="B28" s="1">
        <v>1</v>
      </c>
      <c r="C28" s="1" t="s">
        <v>82</v>
      </c>
      <c r="D28" s="1" t="s">
        <v>84</v>
      </c>
      <c r="E28" s="1"/>
      <c r="F28" s="1"/>
      <c r="G28" s="1"/>
      <c r="H28" s="23" t="s">
        <v>112</v>
      </c>
      <c r="I28" s="26">
        <v>200</v>
      </c>
      <c r="J28" s="26">
        <v>1</v>
      </c>
      <c r="K28" s="26">
        <f t="shared" si="5"/>
        <v>200</v>
      </c>
      <c r="L28" s="26">
        <v>16</v>
      </c>
      <c r="M28" s="26">
        <f t="shared" si="6"/>
        <v>216</v>
      </c>
      <c r="N28" s="17"/>
      <c r="O28" s="17"/>
      <c r="P28" s="2"/>
      <c r="Q28" s="2"/>
      <c r="R28" s="25"/>
      <c r="S28" s="2"/>
      <c r="T28" s="2"/>
    </row>
    <row r="29" spans="2:20" ht="20.100000000000001" customHeight="1" x14ac:dyDescent="0.25">
      <c r="B29" s="1">
        <v>2</v>
      </c>
      <c r="C29" s="1" t="s">
        <v>82</v>
      </c>
      <c r="D29" s="1" t="s">
        <v>85</v>
      </c>
      <c r="E29" s="1"/>
      <c r="F29" s="1"/>
      <c r="G29" s="1"/>
      <c r="H29" s="23" t="s">
        <v>112</v>
      </c>
      <c r="I29" s="26">
        <v>230</v>
      </c>
      <c r="J29" s="26">
        <v>1</v>
      </c>
      <c r="K29" s="26">
        <f t="shared" si="5"/>
        <v>230</v>
      </c>
      <c r="L29" s="26">
        <v>16</v>
      </c>
      <c r="M29" s="26">
        <f t="shared" si="6"/>
        <v>246</v>
      </c>
      <c r="N29" s="17"/>
      <c r="O29" s="17"/>
      <c r="P29" s="2"/>
      <c r="Q29" s="2"/>
      <c r="R29" s="25"/>
      <c r="S29" s="2"/>
      <c r="T29" s="2"/>
    </row>
    <row r="30" spans="2:20" ht="20.100000000000001" customHeight="1" x14ac:dyDescent="0.25">
      <c r="B30" s="1">
        <v>3</v>
      </c>
      <c r="C30" s="1" t="s">
        <v>82</v>
      </c>
      <c r="D30" s="1" t="s">
        <v>86</v>
      </c>
      <c r="E30" s="1"/>
      <c r="F30" s="1"/>
      <c r="G30" s="1"/>
      <c r="H30" s="23" t="s">
        <v>112</v>
      </c>
      <c r="I30" s="26">
        <v>106</v>
      </c>
      <c r="J30" s="26">
        <v>1</v>
      </c>
      <c r="K30" s="26">
        <f t="shared" si="5"/>
        <v>106</v>
      </c>
      <c r="L30" s="26">
        <v>8</v>
      </c>
      <c r="M30" s="26">
        <f t="shared" si="6"/>
        <v>114</v>
      </c>
      <c r="N30" s="17"/>
      <c r="O30" s="17"/>
      <c r="P30" s="2"/>
      <c r="Q30" s="2"/>
      <c r="R30" s="25"/>
      <c r="S30" s="2"/>
      <c r="T30" s="2"/>
    </row>
    <row r="31" spans="2:20" ht="20.100000000000001" customHeight="1" x14ac:dyDescent="0.25">
      <c r="B31" s="1">
        <v>4</v>
      </c>
      <c r="C31" s="1" t="s">
        <v>82</v>
      </c>
      <c r="D31" s="1" t="s">
        <v>87</v>
      </c>
      <c r="E31" s="1"/>
      <c r="F31" s="1"/>
      <c r="G31" s="1"/>
      <c r="H31" s="10" t="s">
        <v>113</v>
      </c>
      <c r="I31" s="7">
        <v>50</v>
      </c>
      <c r="J31" s="7">
        <v>1</v>
      </c>
      <c r="K31" s="7">
        <f t="shared" si="5"/>
        <v>50</v>
      </c>
      <c r="L31" s="7">
        <v>4</v>
      </c>
      <c r="M31" s="7">
        <f t="shared" si="6"/>
        <v>54</v>
      </c>
      <c r="N31" s="17"/>
      <c r="O31" s="17"/>
      <c r="P31" s="2"/>
      <c r="Q31" s="2"/>
      <c r="R31" s="25"/>
      <c r="S31" s="2"/>
      <c r="T31" s="2"/>
    </row>
    <row r="32" spans="2:20" ht="20.100000000000001" customHeight="1" x14ac:dyDescent="0.25">
      <c r="B32" s="1">
        <v>5</v>
      </c>
      <c r="C32" s="1"/>
      <c r="D32" s="1" t="s">
        <v>88</v>
      </c>
      <c r="E32" s="1"/>
      <c r="F32" s="1"/>
      <c r="G32" s="1"/>
      <c r="H32" s="23" t="s">
        <v>112</v>
      </c>
      <c r="I32" s="26">
        <v>80</v>
      </c>
      <c r="J32" s="26">
        <v>1</v>
      </c>
      <c r="K32" s="26">
        <f t="shared" si="5"/>
        <v>80</v>
      </c>
      <c r="L32" s="26">
        <v>8</v>
      </c>
      <c r="M32" s="26">
        <f t="shared" si="6"/>
        <v>88</v>
      </c>
      <c r="N32" s="17"/>
      <c r="O32" s="17"/>
      <c r="P32" s="2"/>
      <c r="Q32" s="2"/>
      <c r="R32" s="25"/>
      <c r="S32" s="2"/>
      <c r="T32" s="2"/>
    </row>
    <row r="33" spans="2:20" ht="20.100000000000001" customHeight="1" x14ac:dyDescent="0.25">
      <c r="B33" s="1">
        <v>6</v>
      </c>
      <c r="C33" s="1"/>
      <c r="D33" s="1" t="s">
        <v>89</v>
      </c>
      <c r="E33" s="1"/>
      <c r="F33" s="1"/>
      <c r="G33" s="1"/>
      <c r="H33" s="23" t="s">
        <v>112</v>
      </c>
      <c r="I33" s="26">
        <v>130</v>
      </c>
      <c r="J33" s="26">
        <v>1</v>
      </c>
      <c r="K33" s="26">
        <f t="shared" si="5"/>
        <v>130</v>
      </c>
      <c r="L33" s="26">
        <v>16</v>
      </c>
      <c r="M33" s="26">
        <f t="shared" si="6"/>
        <v>146</v>
      </c>
      <c r="N33" s="17"/>
      <c r="O33" s="17"/>
      <c r="P33" s="2"/>
      <c r="Q33" s="2"/>
      <c r="R33" s="25"/>
      <c r="S33" s="2"/>
      <c r="T33" s="2"/>
    </row>
    <row r="34" spans="2:20" ht="20.100000000000001" customHeight="1" x14ac:dyDescent="0.25">
      <c r="B34" s="1">
        <v>7</v>
      </c>
      <c r="C34" s="1" t="s">
        <v>82</v>
      </c>
      <c r="D34" s="1" t="s">
        <v>90</v>
      </c>
      <c r="E34" s="1"/>
      <c r="F34" s="1"/>
      <c r="G34" s="1"/>
      <c r="H34" s="10" t="s">
        <v>113</v>
      </c>
      <c r="I34" s="7">
        <v>230</v>
      </c>
      <c r="J34" s="7">
        <v>1</v>
      </c>
      <c r="K34" s="7">
        <f t="shared" si="5"/>
        <v>230</v>
      </c>
      <c r="L34" s="7">
        <v>18</v>
      </c>
      <c r="M34" s="7">
        <f t="shared" si="6"/>
        <v>248</v>
      </c>
      <c r="N34" s="17"/>
      <c r="O34" s="17"/>
      <c r="P34" s="2"/>
      <c r="Q34" s="2"/>
      <c r="R34" s="25"/>
      <c r="S34" s="2"/>
      <c r="T34" s="2"/>
    </row>
    <row r="35" spans="2:20" ht="20.100000000000001" customHeight="1" x14ac:dyDescent="0.25">
      <c r="B35" s="1">
        <v>8</v>
      </c>
      <c r="C35" s="1"/>
      <c r="D35" s="1" t="s">
        <v>91</v>
      </c>
      <c r="E35" s="1"/>
      <c r="F35" s="1"/>
      <c r="G35" s="1"/>
      <c r="H35" s="23" t="s">
        <v>112</v>
      </c>
      <c r="I35" s="26">
        <v>170</v>
      </c>
      <c r="J35" s="26">
        <v>1</v>
      </c>
      <c r="K35" s="26">
        <f t="shared" si="5"/>
        <v>170</v>
      </c>
      <c r="L35" s="26">
        <v>14</v>
      </c>
      <c r="M35" s="26">
        <f t="shared" si="6"/>
        <v>184</v>
      </c>
      <c r="N35" s="17"/>
      <c r="O35" s="17"/>
      <c r="P35" s="2"/>
      <c r="Q35" s="2"/>
      <c r="R35" s="25"/>
      <c r="S35" s="2"/>
      <c r="T35" s="2"/>
    </row>
    <row r="36" spans="2:20" ht="20.100000000000001" customHeight="1" x14ac:dyDescent="0.25">
      <c r="B36" s="1">
        <v>9</v>
      </c>
      <c r="C36" s="1"/>
      <c r="D36" s="1"/>
      <c r="E36" s="1"/>
      <c r="F36" s="1"/>
      <c r="G36" s="1"/>
      <c r="H36" s="1"/>
      <c r="I36" s="1"/>
      <c r="J36" s="17"/>
      <c r="K36" s="17"/>
      <c r="L36" s="7"/>
      <c r="M36" s="7"/>
      <c r="N36" s="17"/>
      <c r="O36" s="17"/>
      <c r="P36" s="2"/>
      <c r="Q36" s="2"/>
      <c r="R36" s="25"/>
      <c r="S36" s="2"/>
      <c r="T36" s="2"/>
    </row>
    <row r="37" spans="2:20" ht="20.100000000000001" customHeight="1" x14ac:dyDescent="0.25">
      <c r="B37" s="2"/>
      <c r="C37" s="1" t="s">
        <v>82</v>
      </c>
      <c r="D37" s="1" t="s">
        <v>92</v>
      </c>
      <c r="E37" s="1"/>
      <c r="F37" s="1"/>
      <c r="G37" s="1"/>
      <c r="H37" s="10" t="s">
        <v>113</v>
      </c>
      <c r="I37" s="7">
        <v>255</v>
      </c>
      <c r="J37" s="7">
        <v>1</v>
      </c>
      <c r="K37" s="7">
        <f t="shared" ref="K37:K46" si="7">SUM(I37*J37)</f>
        <v>255</v>
      </c>
      <c r="L37" s="7">
        <v>14</v>
      </c>
      <c r="M37" s="7">
        <f t="shared" ref="M37:M46" si="8">SUM(K37:L37)</f>
        <v>269</v>
      </c>
      <c r="N37" s="17"/>
      <c r="O37" s="17"/>
      <c r="P37" s="2"/>
      <c r="Q37" s="2"/>
      <c r="R37" s="25"/>
      <c r="S37" s="2"/>
      <c r="T37" s="2"/>
    </row>
    <row r="38" spans="2:20" ht="20.100000000000001" customHeight="1" x14ac:dyDescent="0.25">
      <c r="B38" s="2"/>
      <c r="C38" s="1"/>
      <c r="D38" s="1" t="s">
        <v>93</v>
      </c>
      <c r="E38" s="1"/>
      <c r="F38" s="1"/>
      <c r="G38" s="1"/>
      <c r="H38" s="23" t="s">
        <v>112</v>
      </c>
      <c r="I38" s="26">
        <v>109</v>
      </c>
      <c r="J38" s="26">
        <v>1</v>
      </c>
      <c r="K38" s="26">
        <f t="shared" si="7"/>
        <v>109</v>
      </c>
      <c r="L38" s="26">
        <v>10</v>
      </c>
      <c r="M38" s="26">
        <f t="shared" si="8"/>
        <v>119</v>
      </c>
      <c r="N38" s="17"/>
      <c r="O38" s="17"/>
      <c r="P38" s="2"/>
      <c r="Q38" s="2"/>
      <c r="R38" s="25"/>
      <c r="S38" s="2"/>
      <c r="T38" s="2"/>
    </row>
    <row r="39" spans="2:20" ht="20.100000000000001" customHeight="1" x14ac:dyDescent="0.25">
      <c r="B39" s="2"/>
      <c r="C39" s="1"/>
      <c r="D39" s="1" t="s">
        <v>94</v>
      </c>
      <c r="E39" s="1"/>
      <c r="F39" s="1"/>
      <c r="G39" s="1"/>
      <c r="H39" s="23" t="s">
        <v>112</v>
      </c>
      <c r="I39" s="26">
        <v>145</v>
      </c>
      <c r="J39" s="26">
        <v>1</v>
      </c>
      <c r="K39" s="26">
        <f t="shared" si="7"/>
        <v>145</v>
      </c>
      <c r="L39" s="26">
        <v>12</v>
      </c>
      <c r="M39" s="26">
        <f t="shared" si="8"/>
        <v>157</v>
      </c>
      <c r="N39" s="17"/>
      <c r="O39" s="17"/>
      <c r="P39" s="2"/>
      <c r="Q39" s="2"/>
      <c r="R39" s="25"/>
      <c r="S39" s="2"/>
      <c r="T39" s="2"/>
    </row>
    <row r="40" spans="2:20" ht="20.100000000000001" customHeight="1" x14ac:dyDescent="0.25">
      <c r="B40" s="2"/>
      <c r="C40" s="1" t="s">
        <v>82</v>
      </c>
      <c r="D40" s="1" t="s">
        <v>95</v>
      </c>
      <c r="E40" s="1"/>
      <c r="F40" s="1"/>
      <c r="G40" s="1"/>
      <c r="H40" s="10" t="s">
        <v>113</v>
      </c>
      <c r="I40" s="7">
        <v>336</v>
      </c>
      <c r="J40" s="7">
        <v>1</v>
      </c>
      <c r="K40" s="7">
        <f t="shared" si="7"/>
        <v>336</v>
      </c>
      <c r="L40" s="7">
        <v>26</v>
      </c>
      <c r="M40" s="7">
        <f t="shared" si="8"/>
        <v>362</v>
      </c>
      <c r="N40" s="17"/>
      <c r="O40" s="17"/>
      <c r="P40" s="2"/>
      <c r="Q40" s="2"/>
      <c r="R40" s="25"/>
      <c r="S40" s="2"/>
      <c r="T40" s="2"/>
    </row>
    <row r="41" spans="2:20" ht="20.100000000000001" customHeight="1" x14ac:dyDescent="0.25">
      <c r="B41" s="2"/>
      <c r="C41" s="1"/>
      <c r="D41" s="1" t="s">
        <v>96</v>
      </c>
      <c r="E41" s="1"/>
      <c r="F41" s="1"/>
      <c r="G41" s="1"/>
      <c r="H41" s="23" t="s">
        <v>112</v>
      </c>
      <c r="I41" s="26">
        <v>140</v>
      </c>
      <c r="J41" s="26">
        <v>1</v>
      </c>
      <c r="K41" s="26">
        <f t="shared" si="7"/>
        <v>140</v>
      </c>
      <c r="L41" s="26">
        <v>12</v>
      </c>
      <c r="M41" s="26">
        <f t="shared" si="8"/>
        <v>152</v>
      </c>
      <c r="N41" s="17"/>
      <c r="O41" s="17"/>
      <c r="P41" s="2"/>
      <c r="Q41" s="2"/>
      <c r="R41" s="25"/>
      <c r="S41" s="2"/>
      <c r="T41" s="2"/>
    </row>
    <row r="42" spans="2:20" ht="20.100000000000001" customHeight="1" x14ac:dyDescent="0.25">
      <c r="B42" s="2"/>
      <c r="C42" s="1"/>
      <c r="D42" s="1" t="s">
        <v>97</v>
      </c>
      <c r="E42" s="1"/>
      <c r="F42" s="1"/>
      <c r="G42" s="1"/>
      <c r="H42" s="23" t="s">
        <v>112</v>
      </c>
      <c r="I42" s="26">
        <v>165</v>
      </c>
      <c r="J42" s="26">
        <v>1</v>
      </c>
      <c r="K42" s="26">
        <f t="shared" si="7"/>
        <v>165</v>
      </c>
      <c r="L42" s="26">
        <v>14</v>
      </c>
      <c r="M42" s="26">
        <f t="shared" si="8"/>
        <v>179</v>
      </c>
      <c r="N42" s="17"/>
      <c r="O42" s="17"/>
      <c r="P42" s="2"/>
      <c r="Q42" s="2"/>
      <c r="R42" s="25"/>
      <c r="S42" s="2"/>
      <c r="T42" s="2"/>
    </row>
    <row r="43" spans="2:20" ht="20.100000000000001" customHeight="1" x14ac:dyDescent="0.25">
      <c r="B43" s="2"/>
      <c r="C43" s="1"/>
      <c r="D43" s="1" t="s">
        <v>98</v>
      </c>
      <c r="E43" s="1"/>
      <c r="F43" s="1"/>
      <c r="G43" s="1"/>
      <c r="H43" s="23" t="s">
        <v>112</v>
      </c>
      <c r="I43" s="26">
        <v>160</v>
      </c>
      <c r="J43" s="26">
        <v>1</v>
      </c>
      <c r="K43" s="26">
        <f t="shared" si="7"/>
        <v>160</v>
      </c>
      <c r="L43" s="26">
        <v>14</v>
      </c>
      <c r="M43" s="26">
        <f t="shared" si="8"/>
        <v>174</v>
      </c>
      <c r="N43" s="17"/>
      <c r="O43" s="17"/>
      <c r="P43" s="2"/>
      <c r="Q43" s="2"/>
      <c r="R43" s="25"/>
      <c r="S43" s="2"/>
      <c r="T43" s="2"/>
    </row>
    <row r="44" spans="2:20" ht="20.100000000000001" customHeight="1" x14ac:dyDescent="0.25">
      <c r="B44" s="2"/>
      <c r="C44" s="1" t="s">
        <v>82</v>
      </c>
      <c r="D44" s="1" t="s">
        <v>99</v>
      </c>
      <c r="E44" s="1"/>
      <c r="F44" s="1"/>
      <c r="G44" s="1"/>
      <c r="H44" s="10" t="s">
        <v>113</v>
      </c>
      <c r="I44" s="7">
        <v>338</v>
      </c>
      <c r="J44" s="7">
        <v>1</v>
      </c>
      <c r="K44" s="7">
        <f t="shared" si="7"/>
        <v>338</v>
      </c>
      <c r="L44" s="7">
        <v>24</v>
      </c>
      <c r="M44" s="7">
        <f t="shared" si="8"/>
        <v>362</v>
      </c>
      <c r="N44" s="17"/>
      <c r="O44" s="17"/>
      <c r="P44" s="2"/>
      <c r="Q44" s="2"/>
      <c r="R44" s="25"/>
      <c r="S44" s="2"/>
      <c r="T44" s="2"/>
    </row>
    <row r="45" spans="2:20" ht="20.100000000000001" customHeight="1" x14ac:dyDescent="0.25">
      <c r="B45" s="2"/>
      <c r="C45" s="1"/>
      <c r="D45" s="1" t="s">
        <v>100</v>
      </c>
      <c r="E45" s="1"/>
      <c r="F45" s="1"/>
      <c r="G45" s="1"/>
      <c r="H45" s="23" t="s">
        <v>112</v>
      </c>
      <c r="I45" s="26">
        <v>112</v>
      </c>
      <c r="J45" s="26">
        <v>1</v>
      </c>
      <c r="K45" s="26">
        <f t="shared" si="7"/>
        <v>112</v>
      </c>
      <c r="L45" s="26">
        <v>10</v>
      </c>
      <c r="M45" s="26">
        <f t="shared" si="8"/>
        <v>122</v>
      </c>
      <c r="N45" s="17"/>
      <c r="O45" s="17"/>
      <c r="P45" s="2"/>
      <c r="Q45" s="2"/>
      <c r="R45" s="25"/>
      <c r="S45" s="2"/>
      <c r="T45" s="2"/>
    </row>
    <row r="46" spans="2:20" ht="20.100000000000001" customHeight="1" x14ac:dyDescent="0.25">
      <c r="B46" s="2"/>
      <c r="C46" s="1"/>
      <c r="D46" s="1" t="s">
        <v>101</v>
      </c>
      <c r="E46" s="1"/>
      <c r="F46" s="1"/>
      <c r="G46" s="1"/>
      <c r="H46" s="23" t="s">
        <v>112</v>
      </c>
      <c r="I46" s="26">
        <v>106</v>
      </c>
      <c r="J46" s="26">
        <v>1</v>
      </c>
      <c r="K46" s="26">
        <f t="shared" si="7"/>
        <v>106</v>
      </c>
      <c r="L46" s="26">
        <v>8</v>
      </c>
      <c r="M46" s="26">
        <f t="shared" si="8"/>
        <v>114</v>
      </c>
      <c r="N46" s="2"/>
      <c r="O46" s="17"/>
      <c r="P46" s="2"/>
      <c r="Q46" s="2"/>
      <c r="R46" s="25"/>
      <c r="S46" s="2"/>
      <c r="T46" s="2"/>
    </row>
    <row r="47" spans="2:20" ht="20.100000000000001" customHeight="1" x14ac:dyDescent="0.25"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2"/>
      <c r="Q47" s="2"/>
      <c r="R47" s="25"/>
      <c r="S47" s="2"/>
      <c r="T47" s="2"/>
    </row>
    <row r="48" spans="2:20" ht="20.100000000000001" customHeight="1" x14ac:dyDescent="0.25"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"/>
      <c r="O48" s="17"/>
      <c r="P48" s="17"/>
      <c r="Q48" s="2"/>
      <c r="R48" s="2"/>
      <c r="S48" s="2"/>
      <c r="T48" s="2"/>
    </row>
    <row r="49" spans="2:20" ht="20.100000000000001" customHeight="1" x14ac:dyDescent="0.25">
      <c r="B49" s="2"/>
      <c r="C49" s="1"/>
      <c r="D49" s="1"/>
      <c r="E49" s="1"/>
      <c r="F49" s="1"/>
      <c r="G49" s="1"/>
      <c r="H49" s="10" t="s">
        <v>113</v>
      </c>
      <c r="I49" s="1"/>
      <c r="J49" s="1"/>
      <c r="K49" s="1"/>
      <c r="L49" s="1"/>
      <c r="M49" s="32">
        <f>SUM(M44+M40+M37+M34+M31)</f>
        <v>1295</v>
      </c>
      <c r="N49" s="17"/>
      <c r="O49" s="17"/>
      <c r="P49" s="2"/>
      <c r="Q49" s="2"/>
      <c r="R49" s="25"/>
      <c r="S49" s="2"/>
      <c r="T49" s="2"/>
    </row>
    <row r="50" spans="2:20" ht="20.100000000000001" customHeight="1" x14ac:dyDescent="0.25">
      <c r="B50" s="2"/>
      <c r="C50" s="2"/>
      <c r="D50" s="2"/>
      <c r="E50" s="2"/>
      <c r="F50" s="2"/>
      <c r="G50" s="2"/>
      <c r="H50" s="23" t="s">
        <v>112</v>
      </c>
      <c r="I50" s="2"/>
      <c r="J50" s="2"/>
      <c r="K50" s="2"/>
      <c r="L50" s="2"/>
      <c r="M50" s="24">
        <f>SUM(M46+M45+M43+M42+M41+M39+M38+M35+M33+M32+M30+M29+M28)</f>
        <v>2011</v>
      </c>
      <c r="N50" s="17"/>
      <c r="O50" s="17"/>
      <c r="P50" s="2"/>
      <c r="Q50" s="2"/>
      <c r="R50" s="25"/>
      <c r="S50" s="2"/>
      <c r="T50" s="2"/>
    </row>
    <row r="51" spans="2:20" ht="20.100000000000001" customHeight="1" x14ac:dyDescent="0.25">
      <c r="B51" s="1"/>
      <c r="C51" s="5"/>
      <c r="D51" s="5"/>
      <c r="E51" s="5"/>
      <c r="F51" s="5"/>
      <c r="G51" s="1"/>
      <c r="H51" s="10"/>
      <c r="I51" s="7"/>
      <c r="J51" s="7"/>
      <c r="K51" s="7"/>
      <c r="L51" s="7"/>
      <c r="M51" s="7"/>
      <c r="N51" s="7"/>
      <c r="O51" s="7"/>
      <c r="P51" s="2"/>
      <c r="Q51" s="2"/>
      <c r="R51" s="2"/>
      <c r="S51" s="2"/>
      <c r="T51" s="2"/>
    </row>
    <row r="52" spans="2:20" ht="18" customHeight="1" x14ac:dyDescent="0.25">
      <c r="B52" s="1"/>
      <c r="C52" s="6"/>
      <c r="D52" s="5"/>
      <c r="E52" s="6"/>
      <c r="F52" s="6"/>
      <c r="G52" s="9"/>
      <c r="H52" s="16"/>
      <c r="I52" s="17"/>
      <c r="J52" s="17"/>
      <c r="K52" s="17"/>
      <c r="L52" s="7"/>
      <c r="M52" s="7"/>
      <c r="N52" s="17"/>
      <c r="O52" s="17"/>
      <c r="P52" s="2"/>
      <c r="Q52" s="2"/>
      <c r="R52" s="14"/>
      <c r="S52" s="14"/>
      <c r="T52" s="14"/>
    </row>
    <row r="53" spans="2:20" ht="21" customHeight="1" x14ac:dyDescent="0.25">
      <c r="B53" s="1">
        <v>1</v>
      </c>
      <c r="C53" s="6" t="s">
        <v>18</v>
      </c>
      <c r="D53" s="5" t="s">
        <v>19</v>
      </c>
      <c r="E53" s="6"/>
      <c r="F53" s="6"/>
      <c r="G53" s="9"/>
      <c r="H53" s="16" t="s">
        <v>102</v>
      </c>
      <c r="I53" s="17">
        <v>190</v>
      </c>
      <c r="J53" s="17">
        <v>1</v>
      </c>
      <c r="K53" s="17">
        <f t="shared" ref="K53" si="9">SUM(I53*J53)</f>
        <v>190</v>
      </c>
      <c r="L53" s="7">
        <v>3</v>
      </c>
      <c r="M53" s="7">
        <f t="shared" ref="M53" si="10">SUM(K53:L53)</f>
        <v>193</v>
      </c>
      <c r="N53" s="17"/>
      <c r="O53" s="17"/>
      <c r="P53" s="2"/>
      <c r="Q53" s="2"/>
      <c r="R53" s="25"/>
      <c r="S53" s="2"/>
      <c r="T53" s="2"/>
    </row>
    <row r="54" spans="2:20" ht="20.100000000000001" customHeight="1" x14ac:dyDescent="0.25">
      <c r="B54" s="1">
        <v>2</v>
      </c>
      <c r="C54" s="6" t="s">
        <v>18</v>
      </c>
      <c r="D54" s="5" t="s">
        <v>20</v>
      </c>
      <c r="E54" s="6"/>
      <c r="F54" s="6"/>
      <c r="G54" s="9"/>
      <c r="H54" s="16" t="s">
        <v>102</v>
      </c>
      <c r="I54" s="17">
        <v>160</v>
      </c>
      <c r="J54" s="17">
        <v>1</v>
      </c>
      <c r="K54" s="17">
        <f t="shared" ref="K54:K65" si="11">SUM(I54*J54)</f>
        <v>160</v>
      </c>
      <c r="L54" s="7">
        <v>3</v>
      </c>
      <c r="M54" s="7">
        <f t="shared" ref="M54:M65" si="12">SUM(K54:L54)</f>
        <v>163</v>
      </c>
      <c r="N54" s="17"/>
      <c r="O54" s="17"/>
      <c r="P54" s="2"/>
      <c r="Q54" s="2"/>
      <c r="R54" s="25"/>
      <c r="S54" s="2"/>
      <c r="T54" s="2"/>
    </row>
    <row r="55" spans="2:20" ht="20.100000000000001" customHeight="1" x14ac:dyDescent="0.25">
      <c r="B55" s="1">
        <v>3</v>
      </c>
      <c r="C55" s="6" t="s">
        <v>18</v>
      </c>
      <c r="D55" s="5" t="s">
        <v>21</v>
      </c>
      <c r="E55" s="6"/>
      <c r="F55" s="6"/>
      <c r="G55" s="9"/>
      <c r="H55" s="16" t="s">
        <v>102</v>
      </c>
      <c r="I55" s="17">
        <v>130</v>
      </c>
      <c r="J55" s="17">
        <v>1</v>
      </c>
      <c r="K55" s="17">
        <f t="shared" si="11"/>
        <v>130</v>
      </c>
      <c r="L55" s="7">
        <v>3</v>
      </c>
      <c r="M55" s="7">
        <f t="shared" si="12"/>
        <v>133</v>
      </c>
      <c r="N55" s="17"/>
      <c r="O55" s="17"/>
      <c r="P55" s="2"/>
      <c r="Q55" s="2"/>
      <c r="R55" s="25"/>
      <c r="S55" s="2"/>
      <c r="T55" s="2"/>
    </row>
    <row r="56" spans="2:20" ht="20.100000000000001" customHeight="1" x14ac:dyDescent="0.25">
      <c r="B56" s="1">
        <v>4</v>
      </c>
      <c r="C56" s="6" t="s">
        <v>18</v>
      </c>
      <c r="D56" s="5" t="s">
        <v>22</v>
      </c>
      <c r="E56" s="6"/>
      <c r="F56" s="6"/>
      <c r="G56" s="9"/>
      <c r="H56" s="16" t="s">
        <v>102</v>
      </c>
      <c r="I56" s="17">
        <v>95</v>
      </c>
      <c r="J56" s="17">
        <v>1</v>
      </c>
      <c r="K56" s="17">
        <f t="shared" si="11"/>
        <v>95</v>
      </c>
      <c r="L56" s="7">
        <v>3</v>
      </c>
      <c r="M56" s="7">
        <f t="shared" si="12"/>
        <v>98</v>
      </c>
      <c r="N56" s="17"/>
      <c r="O56" s="17"/>
      <c r="P56" s="2"/>
      <c r="Q56" s="2"/>
      <c r="R56" s="25"/>
      <c r="S56" s="2"/>
      <c r="T56" s="2"/>
    </row>
    <row r="57" spans="2:20" ht="20.100000000000001" customHeight="1" x14ac:dyDescent="0.25">
      <c r="B57" s="1">
        <v>5</v>
      </c>
      <c r="C57" s="6" t="s">
        <v>18</v>
      </c>
      <c r="D57" s="5" t="s">
        <v>23</v>
      </c>
      <c r="E57" s="6"/>
      <c r="F57" s="6"/>
      <c r="G57" s="9"/>
      <c r="H57" s="16" t="s">
        <v>102</v>
      </c>
      <c r="I57" s="17">
        <v>65</v>
      </c>
      <c r="J57" s="17">
        <v>1</v>
      </c>
      <c r="K57" s="17">
        <f t="shared" si="11"/>
        <v>65</v>
      </c>
      <c r="L57" s="7">
        <v>3</v>
      </c>
      <c r="M57" s="7">
        <f t="shared" si="12"/>
        <v>68</v>
      </c>
      <c r="N57" s="17"/>
      <c r="O57" s="17"/>
      <c r="P57" s="2"/>
      <c r="Q57" s="2"/>
      <c r="R57" s="25"/>
      <c r="S57" s="2"/>
      <c r="T57" s="2"/>
    </row>
    <row r="58" spans="2:20" ht="20.100000000000001" customHeight="1" x14ac:dyDescent="0.25">
      <c r="B58" s="1">
        <v>6</v>
      </c>
      <c r="C58" s="6" t="s">
        <v>18</v>
      </c>
      <c r="D58" s="5" t="s">
        <v>24</v>
      </c>
      <c r="E58" s="6"/>
      <c r="F58" s="6"/>
      <c r="G58" s="9"/>
      <c r="H58" s="16" t="s">
        <v>102</v>
      </c>
      <c r="I58" s="17">
        <v>112</v>
      </c>
      <c r="J58" s="17">
        <v>1</v>
      </c>
      <c r="K58" s="17">
        <f t="shared" si="11"/>
        <v>112</v>
      </c>
      <c r="L58" s="7">
        <v>3</v>
      </c>
      <c r="M58" s="7">
        <f t="shared" si="12"/>
        <v>115</v>
      </c>
      <c r="N58" s="17"/>
      <c r="O58" s="17"/>
      <c r="P58" s="2"/>
      <c r="Q58" s="2"/>
      <c r="R58" s="25"/>
      <c r="S58" s="2"/>
      <c r="T58" s="2"/>
    </row>
    <row r="59" spans="2:20" ht="20.100000000000001" customHeight="1" x14ac:dyDescent="0.25">
      <c r="B59" s="1">
        <v>7</v>
      </c>
      <c r="C59" s="6" t="s">
        <v>18</v>
      </c>
      <c r="D59" s="5" t="s">
        <v>25</v>
      </c>
      <c r="E59" s="6"/>
      <c r="F59" s="6"/>
      <c r="G59" s="9"/>
      <c r="H59" s="16" t="s">
        <v>102</v>
      </c>
      <c r="I59" s="17">
        <v>80</v>
      </c>
      <c r="J59" s="17">
        <v>1</v>
      </c>
      <c r="K59" s="17">
        <f t="shared" si="11"/>
        <v>80</v>
      </c>
      <c r="L59" s="7">
        <v>3</v>
      </c>
      <c r="M59" s="7">
        <f t="shared" si="12"/>
        <v>83</v>
      </c>
      <c r="N59" s="17"/>
      <c r="O59" s="17"/>
      <c r="P59" s="2"/>
      <c r="Q59" s="2"/>
      <c r="R59" s="25"/>
      <c r="S59" s="2"/>
      <c r="T59" s="2"/>
    </row>
    <row r="60" spans="2:20" ht="20.100000000000001" customHeight="1" x14ac:dyDescent="0.25">
      <c r="B60" s="1">
        <v>8</v>
      </c>
      <c r="C60" s="6" t="s">
        <v>18</v>
      </c>
      <c r="D60" s="5" t="s">
        <v>26</v>
      </c>
      <c r="E60" s="6"/>
      <c r="F60" s="6"/>
      <c r="G60" s="9"/>
      <c r="H60" s="16" t="s">
        <v>102</v>
      </c>
      <c r="I60" s="17">
        <v>50</v>
      </c>
      <c r="J60" s="17">
        <v>1</v>
      </c>
      <c r="K60" s="17">
        <f t="shared" si="11"/>
        <v>50</v>
      </c>
      <c r="L60" s="7">
        <v>3</v>
      </c>
      <c r="M60" s="7">
        <f t="shared" si="12"/>
        <v>53</v>
      </c>
      <c r="N60" s="17"/>
      <c r="O60" s="17"/>
      <c r="P60" s="2"/>
      <c r="Q60" s="2"/>
      <c r="R60" s="25"/>
      <c r="S60" s="2"/>
      <c r="T60" s="2"/>
    </row>
    <row r="61" spans="2:20" ht="20.100000000000001" customHeight="1" x14ac:dyDescent="0.25">
      <c r="B61" s="1">
        <v>9</v>
      </c>
      <c r="C61" s="6" t="s">
        <v>18</v>
      </c>
      <c r="D61" s="5" t="s">
        <v>27</v>
      </c>
      <c r="E61" s="6"/>
      <c r="F61" s="6"/>
      <c r="G61" s="9"/>
      <c r="H61" s="16" t="s">
        <v>102</v>
      </c>
      <c r="I61" s="17">
        <v>45</v>
      </c>
      <c r="J61" s="17">
        <v>1</v>
      </c>
      <c r="K61" s="17">
        <f t="shared" si="11"/>
        <v>45</v>
      </c>
      <c r="L61" s="7">
        <v>3</v>
      </c>
      <c r="M61" s="7">
        <f t="shared" si="12"/>
        <v>48</v>
      </c>
      <c r="N61" s="17"/>
      <c r="O61" s="17"/>
      <c r="P61" s="2"/>
      <c r="Q61" s="2"/>
      <c r="R61" s="25"/>
      <c r="S61" s="2"/>
      <c r="T61" s="2"/>
    </row>
    <row r="62" spans="2:20" ht="20.100000000000001" customHeight="1" x14ac:dyDescent="0.25">
      <c r="B62" s="1">
        <v>10</v>
      </c>
      <c r="C62" s="6" t="s">
        <v>18</v>
      </c>
      <c r="D62" s="5" t="s">
        <v>28</v>
      </c>
      <c r="E62" s="6"/>
      <c r="F62" s="6"/>
      <c r="G62" s="9"/>
      <c r="H62" s="16" t="s">
        <v>102</v>
      </c>
      <c r="I62" s="17">
        <v>75</v>
      </c>
      <c r="J62" s="17">
        <v>1</v>
      </c>
      <c r="K62" s="17">
        <f t="shared" si="11"/>
        <v>75</v>
      </c>
      <c r="L62" s="7">
        <v>3</v>
      </c>
      <c r="M62" s="7">
        <f t="shared" si="12"/>
        <v>78</v>
      </c>
      <c r="N62" s="17"/>
      <c r="O62" s="17"/>
      <c r="P62" s="2"/>
      <c r="Q62" s="2"/>
      <c r="R62" s="25"/>
      <c r="S62" s="2"/>
      <c r="T62" s="2"/>
    </row>
    <row r="63" spans="2:20" ht="20.100000000000001" customHeight="1" x14ac:dyDescent="0.25">
      <c r="B63" s="1">
        <v>11</v>
      </c>
      <c r="C63" s="6" t="s">
        <v>18</v>
      </c>
      <c r="D63" s="5" t="s">
        <v>29</v>
      </c>
      <c r="E63" s="6"/>
      <c r="F63" s="6"/>
      <c r="G63" s="9"/>
      <c r="H63" s="16" t="s">
        <v>102</v>
      </c>
      <c r="I63" s="17">
        <v>120</v>
      </c>
      <c r="J63" s="17">
        <v>1</v>
      </c>
      <c r="K63" s="17">
        <f t="shared" si="11"/>
        <v>120</v>
      </c>
      <c r="L63" s="7">
        <v>3</v>
      </c>
      <c r="M63" s="7">
        <f t="shared" si="12"/>
        <v>123</v>
      </c>
      <c r="N63" s="17"/>
      <c r="O63" s="17"/>
      <c r="P63" s="2"/>
      <c r="Q63" s="2"/>
      <c r="R63" s="25"/>
      <c r="S63" s="2"/>
      <c r="T63" s="2"/>
    </row>
    <row r="64" spans="2:20" ht="20.100000000000001" customHeight="1" x14ac:dyDescent="0.25">
      <c r="B64" s="1">
        <v>12</v>
      </c>
      <c r="C64" s="6" t="s">
        <v>18</v>
      </c>
      <c r="D64" s="5" t="s">
        <v>30</v>
      </c>
      <c r="E64" s="6"/>
      <c r="F64" s="6"/>
      <c r="G64" s="9"/>
      <c r="H64" s="16" t="s">
        <v>102</v>
      </c>
      <c r="I64" s="17">
        <v>155</v>
      </c>
      <c r="J64" s="17">
        <v>1</v>
      </c>
      <c r="K64" s="17">
        <f t="shared" si="11"/>
        <v>155</v>
      </c>
      <c r="L64" s="7">
        <v>3</v>
      </c>
      <c r="M64" s="7">
        <f t="shared" si="12"/>
        <v>158</v>
      </c>
      <c r="N64" s="17"/>
      <c r="O64" s="17"/>
      <c r="P64" s="2"/>
      <c r="Q64" s="2"/>
      <c r="R64" s="25"/>
      <c r="S64" s="2"/>
      <c r="T64" s="2"/>
    </row>
    <row r="65" spans="2:20" ht="20.100000000000001" customHeight="1" x14ac:dyDescent="0.25">
      <c r="B65" s="1">
        <v>13</v>
      </c>
      <c r="C65" s="6" t="s">
        <v>18</v>
      </c>
      <c r="D65" s="5" t="s">
        <v>31</v>
      </c>
      <c r="E65" s="6"/>
      <c r="F65" s="6"/>
      <c r="G65" s="9"/>
      <c r="H65" s="16" t="s">
        <v>102</v>
      </c>
      <c r="I65" s="17">
        <v>185</v>
      </c>
      <c r="J65" s="17">
        <v>1</v>
      </c>
      <c r="K65" s="17">
        <f t="shared" si="11"/>
        <v>185</v>
      </c>
      <c r="L65" s="7">
        <v>3</v>
      </c>
      <c r="M65" s="7">
        <f t="shared" si="12"/>
        <v>188</v>
      </c>
      <c r="N65" s="17"/>
      <c r="O65" s="17"/>
      <c r="P65" s="2"/>
      <c r="Q65" s="2"/>
      <c r="R65" s="25"/>
      <c r="S65" s="2"/>
      <c r="T65" s="2"/>
    </row>
    <row r="66" spans="2:20" ht="15.95" customHeight="1" x14ac:dyDescent="0.25">
      <c r="B66" s="1"/>
      <c r="C66" s="6"/>
      <c r="D66" s="5"/>
      <c r="E66" s="6"/>
      <c r="F66" s="6"/>
      <c r="G66" s="9"/>
      <c r="H66" s="19"/>
      <c r="I66" s="17"/>
      <c r="J66" s="17"/>
      <c r="K66" s="17"/>
      <c r="L66" s="7"/>
      <c r="M66" s="7"/>
      <c r="N66" s="17"/>
      <c r="O66" s="17"/>
      <c r="P66" s="2"/>
      <c r="Q66" s="2"/>
      <c r="R66" s="25"/>
      <c r="S66" s="2"/>
      <c r="T66" s="2"/>
    </row>
    <row r="67" spans="2:20" ht="20.100000000000001" customHeight="1" x14ac:dyDescent="0.25">
      <c r="B67" s="1">
        <v>1</v>
      </c>
      <c r="C67" s="6" t="s">
        <v>33</v>
      </c>
      <c r="D67" s="5" t="s">
        <v>34</v>
      </c>
      <c r="E67" s="6"/>
      <c r="F67" s="6"/>
      <c r="G67" s="9"/>
      <c r="H67" s="16" t="s">
        <v>102</v>
      </c>
      <c r="I67" s="17">
        <v>165</v>
      </c>
      <c r="J67" s="17">
        <v>1</v>
      </c>
      <c r="K67" s="17">
        <f t="shared" ref="K67:K78" si="13">SUM(I67*J67)</f>
        <v>165</v>
      </c>
      <c r="L67" s="7">
        <v>3</v>
      </c>
      <c r="M67" s="7">
        <f t="shared" ref="M67:M78" si="14">SUM(K67:L67)</f>
        <v>168</v>
      </c>
      <c r="N67" s="17"/>
      <c r="O67" s="17"/>
      <c r="P67" s="2"/>
      <c r="Q67" s="2"/>
      <c r="R67" s="25"/>
      <c r="S67" s="2"/>
      <c r="T67" s="2"/>
    </row>
    <row r="68" spans="2:20" ht="20.100000000000001" customHeight="1" x14ac:dyDescent="0.25">
      <c r="B68" s="1">
        <v>2</v>
      </c>
      <c r="C68" s="6" t="s">
        <v>33</v>
      </c>
      <c r="D68" s="5" t="s">
        <v>35</v>
      </c>
      <c r="E68" s="6"/>
      <c r="F68" s="6"/>
      <c r="G68" s="9"/>
      <c r="H68" s="16" t="s">
        <v>102</v>
      </c>
      <c r="I68" s="17">
        <v>135</v>
      </c>
      <c r="J68" s="17">
        <v>1</v>
      </c>
      <c r="K68" s="17">
        <f t="shared" si="13"/>
        <v>135</v>
      </c>
      <c r="L68" s="7">
        <v>3</v>
      </c>
      <c r="M68" s="7">
        <f t="shared" si="14"/>
        <v>138</v>
      </c>
      <c r="N68" s="17"/>
      <c r="O68" s="17"/>
      <c r="P68" s="2"/>
      <c r="Q68" s="2"/>
      <c r="R68" s="25"/>
      <c r="S68" s="2"/>
      <c r="T68" s="2"/>
    </row>
    <row r="69" spans="2:20" ht="20.100000000000001" customHeight="1" x14ac:dyDescent="0.25">
      <c r="B69" s="1">
        <v>3</v>
      </c>
      <c r="C69" s="6" t="s">
        <v>33</v>
      </c>
      <c r="D69" s="5" t="s">
        <v>36</v>
      </c>
      <c r="E69" s="6"/>
      <c r="F69" s="6"/>
      <c r="G69" s="9"/>
      <c r="H69" s="16" t="s">
        <v>102</v>
      </c>
      <c r="I69" s="17">
        <v>90</v>
      </c>
      <c r="J69" s="17">
        <v>1</v>
      </c>
      <c r="K69" s="17">
        <f t="shared" si="13"/>
        <v>90</v>
      </c>
      <c r="L69" s="7">
        <v>3</v>
      </c>
      <c r="M69" s="7">
        <f t="shared" si="14"/>
        <v>93</v>
      </c>
      <c r="N69" s="17"/>
      <c r="O69" s="17"/>
      <c r="P69" s="2"/>
      <c r="Q69" s="2"/>
      <c r="R69" s="25"/>
      <c r="S69" s="2"/>
      <c r="T69" s="2"/>
    </row>
    <row r="70" spans="2:20" ht="20.100000000000001" customHeight="1" x14ac:dyDescent="0.25">
      <c r="B70" s="1">
        <v>4</v>
      </c>
      <c r="C70" s="6" t="s">
        <v>33</v>
      </c>
      <c r="D70" s="5" t="s">
        <v>37</v>
      </c>
      <c r="E70" s="6"/>
      <c r="F70" s="6"/>
      <c r="G70" s="9"/>
      <c r="H70" s="16" t="s">
        <v>102</v>
      </c>
      <c r="I70" s="17">
        <v>55</v>
      </c>
      <c r="J70" s="17">
        <v>1</v>
      </c>
      <c r="K70" s="17">
        <f t="shared" si="13"/>
        <v>55</v>
      </c>
      <c r="L70" s="7">
        <v>3</v>
      </c>
      <c r="M70" s="7">
        <f t="shared" si="14"/>
        <v>58</v>
      </c>
      <c r="N70" s="17"/>
      <c r="O70" s="17"/>
      <c r="P70" s="2"/>
      <c r="Q70" s="2"/>
      <c r="R70" s="25"/>
      <c r="S70" s="2"/>
      <c r="T70" s="2"/>
    </row>
    <row r="71" spans="2:20" ht="20.100000000000001" customHeight="1" x14ac:dyDescent="0.25">
      <c r="B71" s="1">
        <v>5</v>
      </c>
      <c r="C71" s="6" t="s">
        <v>33</v>
      </c>
      <c r="D71" s="5" t="s">
        <v>38</v>
      </c>
      <c r="E71" s="6"/>
      <c r="F71" s="6"/>
      <c r="G71" s="9"/>
      <c r="H71" s="16" t="s">
        <v>102</v>
      </c>
      <c r="I71" s="17">
        <v>80</v>
      </c>
      <c r="J71" s="17">
        <v>1</v>
      </c>
      <c r="K71" s="17">
        <f t="shared" si="13"/>
        <v>80</v>
      </c>
      <c r="L71" s="7">
        <v>3</v>
      </c>
      <c r="M71" s="7">
        <f t="shared" si="14"/>
        <v>83</v>
      </c>
      <c r="N71" s="17"/>
      <c r="O71" s="17"/>
      <c r="P71" s="2"/>
      <c r="Q71" s="2"/>
      <c r="R71" s="25"/>
      <c r="S71" s="2"/>
      <c r="T71" s="2"/>
    </row>
    <row r="72" spans="2:20" ht="20.100000000000001" customHeight="1" x14ac:dyDescent="0.25">
      <c r="B72" s="1">
        <v>6</v>
      </c>
      <c r="C72" s="6" t="s">
        <v>33</v>
      </c>
      <c r="D72" s="5" t="s">
        <v>39</v>
      </c>
      <c r="E72" s="6"/>
      <c r="F72" s="6"/>
      <c r="G72" s="9"/>
      <c r="H72" s="16" t="s">
        <v>102</v>
      </c>
      <c r="I72" s="17">
        <v>108</v>
      </c>
      <c r="J72" s="17">
        <v>1</v>
      </c>
      <c r="K72" s="17">
        <f t="shared" si="13"/>
        <v>108</v>
      </c>
      <c r="L72" s="7">
        <v>3</v>
      </c>
      <c r="M72" s="7">
        <f t="shared" si="14"/>
        <v>111</v>
      </c>
      <c r="N72" s="17"/>
      <c r="O72" s="17"/>
      <c r="P72" s="2"/>
      <c r="Q72" s="2"/>
      <c r="R72" s="25"/>
      <c r="S72" s="2"/>
      <c r="T72" s="2"/>
    </row>
    <row r="73" spans="2:20" ht="20.100000000000001" customHeight="1" x14ac:dyDescent="0.25">
      <c r="B73" s="1">
        <v>7</v>
      </c>
      <c r="C73" s="6" t="s">
        <v>33</v>
      </c>
      <c r="D73" s="5" t="s">
        <v>40</v>
      </c>
      <c r="E73" s="6"/>
      <c r="F73" s="6"/>
      <c r="G73" s="9"/>
      <c r="H73" s="16" t="s">
        <v>102</v>
      </c>
      <c r="I73" s="17">
        <v>140</v>
      </c>
      <c r="J73" s="17">
        <v>1</v>
      </c>
      <c r="K73" s="17">
        <f t="shared" si="13"/>
        <v>140</v>
      </c>
      <c r="L73" s="7">
        <v>3</v>
      </c>
      <c r="M73" s="7">
        <f t="shared" si="14"/>
        <v>143</v>
      </c>
      <c r="N73" s="17"/>
      <c r="O73" s="17"/>
      <c r="P73" s="2"/>
      <c r="Q73" s="2"/>
      <c r="R73" s="25"/>
      <c r="S73" s="2"/>
      <c r="T73" s="2"/>
    </row>
    <row r="74" spans="2:20" ht="20.100000000000001" customHeight="1" x14ac:dyDescent="0.25">
      <c r="B74" s="1">
        <v>8</v>
      </c>
      <c r="C74" s="6" t="s">
        <v>33</v>
      </c>
      <c r="D74" s="5" t="s">
        <v>41</v>
      </c>
      <c r="E74" s="6"/>
      <c r="F74" s="6"/>
      <c r="G74" s="9"/>
      <c r="H74" s="16" t="s">
        <v>102</v>
      </c>
      <c r="I74" s="17">
        <v>140</v>
      </c>
      <c r="J74" s="17">
        <v>1</v>
      </c>
      <c r="K74" s="17">
        <f t="shared" si="13"/>
        <v>140</v>
      </c>
      <c r="L74" s="7">
        <v>3</v>
      </c>
      <c r="M74" s="7">
        <f t="shared" si="14"/>
        <v>143</v>
      </c>
      <c r="N74" s="17"/>
      <c r="O74" s="17"/>
      <c r="P74" s="2"/>
      <c r="Q74" s="2"/>
      <c r="R74" s="25"/>
      <c r="S74" s="2"/>
      <c r="T74" s="2"/>
    </row>
    <row r="75" spans="2:20" ht="20.100000000000001" customHeight="1" x14ac:dyDescent="0.25">
      <c r="B75" s="1">
        <v>9</v>
      </c>
      <c r="C75" s="6" t="s">
        <v>33</v>
      </c>
      <c r="D75" s="5" t="s">
        <v>42</v>
      </c>
      <c r="E75" s="6"/>
      <c r="F75" s="6"/>
      <c r="G75" s="9"/>
      <c r="H75" s="16" t="s">
        <v>102</v>
      </c>
      <c r="I75" s="17">
        <v>110</v>
      </c>
      <c r="J75" s="17">
        <v>1</v>
      </c>
      <c r="K75" s="17">
        <f t="shared" si="13"/>
        <v>110</v>
      </c>
      <c r="L75" s="7">
        <v>3</v>
      </c>
      <c r="M75" s="7">
        <f t="shared" si="14"/>
        <v>113</v>
      </c>
      <c r="N75" s="17"/>
      <c r="O75" s="17"/>
      <c r="P75" s="2"/>
      <c r="Q75" s="2"/>
      <c r="R75" s="25"/>
      <c r="S75" s="2"/>
      <c r="T75" s="2"/>
    </row>
    <row r="76" spans="2:20" ht="20.100000000000001" customHeight="1" x14ac:dyDescent="0.25">
      <c r="B76" s="1">
        <v>10</v>
      </c>
      <c r="C76" s="6" t="s">
        <v>33</v>
      </c>
      <c r="D76" s="5" t="s">
        <v>43</v>
      </c>
      <c r="E76" s="6"/>
      <c r="F76" s="6"/>
      <c r="G76" s="9"/>
      <c r="H76" s="16" t="s">
        <v>102</v>
      </c>
      <c r="I76" s="17">
        <v>80</v>
      </c>
      <c r="J76" s="17">
        <v>1</v>
      </c>
      <c r="K76" s="17">
        <f t="shared" si="13"/>
        <v>80</v>
      </c>
      <c r="L76" s="7">
        <v>3</v>
      </c>
      <c r="M76" s="7">
        <f t="shared" si="14"/>
        <v>83</v>
      </c>
      <c r="N76" s="17"/>
      <c r="O76" s="17"/>
      <c r="P76" s="2"/>
      <c r="Q76" s="2"/>
      <c r="R76" s="25"/>
      <c r="S76" s="2"/>
      <c r="T76" s="2"/>
    </row>
    <row r="77" spans="2:20" ht="20.100000000000001" customHeight="1" x14ac:dyDescent="0.25">
      <c r="B77" s="1">
        <v>11</v>
      </c>
      <c r="C77" s="6" t="s">
        <v>33</v>
      </c>
      <c r="D77" s="5" t="s">
        <v>44</v>
      </c>
      <c r="E77" s="6"/>
      <c r="F77" s="6"/>
      <c r="G77" s="9"/>
      <c r="H77" s="16" t="s">
        <v>102</v>
      </c>
      <c r="I77" s="17">
        <v>55</v>
      </c>
      <c r="J77" s="17">
        <v>1</v>
      </c>
      <c r="K77" s="17">
        <f t="shared" si="13"/>
        <v>55</v>
      </c>
      <c r="L77" s="7">
        <v>3</v>
      </c>
      <c r="M77" s="7">
        <f t="shared" si="14"/>
        <v>58</v>
      </c>
      <c r="N77" s="17"/>
      <c r="O77" s="17"/>
      <c r="P77" s="2"/>
      <c r="Q77" s="2"/>
      <c r="R77" s="25"/>
      <c r="S77" s="2"/>
      <c r="T77" s="2"/>
    </row>
    <row r="78" spans="2:20" ht="20.100000000000001" customHeight="1" x14ac:dyDescent="0.25">
      <c r="B78" s="1">
        <v>12</v>
      </c>
      <c r="C78" s="6" t="s">
        <v>33</v>
      </c>
      <c r="D78" s="5" t="s">
        <v>45</v>
      </c>
      <c r="E78" s="6"/>
      <c r="F78" s="6"/>
      <c r="G78" s="9"/>
      <c r="H78" s="16" t="s">
        <v>102</v>
      </c>
      <c r="I78" s="17">
        <v>100</v>
      </c>
      <c r="J78" s="17">
        <v>1</v>
      </c>
      <c r="K78" s="17">
        <f t="shared" si="13"/>
        <v>100</v>
      </c>
      <c r="L78" s="7">
        <v>3</v>
      </c>
      <c r="M78" s="7">
        <f t="shared" si="14"/>
        <v>103</v>
      </c>
      <c r="N78" s="17"/>
      <c r="O78" s="17"/>
      <c r="P78" s="2"/>
      <c r="Q78" s="2"/>
      <c r="R78" s="25"/>
      <c r="S78" s="2"/>
      <c r="T78" s="2"/>
    </row>
    <row r="79" spans="2:20" ht="15.6" customHeight="1" x14ac:dyDescent="0.25">
      <c r="B79" s="1"/>
      <c r="C79" s="6"/>
      <c r="D79" s="5"/>
      <c r="E79" s="6"/>
      <c r="F79" s="6"/>
      <c r="G79" s="9"/>
      <c r="H79" s="16"/>
      <c r="I79" s="17"/>
      <c r="J79" s="17"/>
      <c r="K79" s="17"/>
      <c r="L79" s="7"/>
      <c r="M79" s="7"/>
      <c r="N79" s="17"/>
      <c r="O79" s="17"/>
      <c r="P79" s="2"/>
      <c r="Q79" s="2"/>
      <c r="R79" s="25"/>
      <c r="S79" s="2"/>
      <c r="T79" s="2"/>
    </row>
    <row r="80" spans="2:20" ht="20.100000000000001" customHeight="1" x14ac:dyDescent="0.25">
      <c r="B80" s="1">
        <v>1</v>
      </c>
      <c r="C80" s="6" t="s">
        <v>47</v>
      </c>
      <c r="D80" s="5" t="s">
        <v>48</v>
      </c>
      <c r="E80" s="6"/>
      <c r="F80" s="6"/>
      <c r="G80" s="9"/>
      <c r="H80" s="16" t="s">
        <v>102</v>
      </c>
      <c r="I80" s="17">
        <v>145</v>
      </c>
      <c r="J80" s="17">
        <v>1</v>
      </c>
      <c r="K80" s="17">
        <f t="shared" ref="K80:K91" si="15">SUM(I80*J80)</f>
        <v>145</v>
      </c>
      <c r="L80" s="7">
        <v>3</v>
      </c>
      <c r="M80" s="7">
        <f t="shared" ref="M80:M91" si="16">SUM(K80:L80)</f>
        <v>148</v>
      </c>
      <c r="N80" s="17"/>
      <c r="O80" s="17"/>
      <c r="P80" s="2"/>
      <c r="Q80" s="2"/>
      <c r="R80" s="25"/>
      <c r="S80" s="2"/>
      <c r="T80" s="2"/>
    </row>
    <row r="81" spans="2:20" ht="20.100000000000001" customHeight="1" x14ac:dyDescent="0.25">
      <c r="B81" s="1">
        <v>2</v>
      </c>
      <c r="C81" s="6" t="s">
        <v>47</v>
      </c>
      <c r="D81" s="5" t="s">
        <v>49</v>
      </c>
      <c r="E81" s="6"/>
      <c r="F81" s="6"/>
      <c r="G81" s="9"/>
      <c r="H81" s="16" t="s">
        <v>102</v>
      </c>
      <c r="I81" s="17">
        <v>115</v>
      </c>
      <c r="J81" s="17">
        <v>1</v>
      </c>
      <c r="K81" s="17">
        <f t="shared" si="15"/>
        <v>115</v>
      </c>
      <c r="L81" s="7">
        <v>3</v>
      </c>
      <c r="M81" s="7">
        <f t="shared" si="16"/>
        <v>118</v>
      </c>
      <c r="N81" s="17"/>
      <c r="O81" s="17"/>
      <c r="P81" s="2"/>
      <c r="Q81" s="2"/>
      <c r="R81" s="25"/>
      <c r="S81" s="2"/>
      <c r="T81" s="2"/>
    </row>
    <row r="82" spans="2:20" ht="20.100000000000001" customHeight="1" x14ac:dyDescent="0.25">
      <c r="B82" s="1">
        <v>3</v>
      </c>
      <c r="C82" s="6" t="s">
        <v>47</v>
      </c>
      <c r="D82" s="5" t="s">
        <v>50</v>
      </c>
      <c r="E82" s="6"/>
      <c r="F82" s="6"/>
      <c r="G82" s="9"/>
      <c r="H82" s="16" t="s">
        <v>102</v>
      </c>
      <c r="I82" s="17">
        <v>85</v>
      </c>
      <c r="J82" s="17">
        <v>1</v>
      </c>
      <c r="K82" s="17">
        <f t="shared" si="15"/>
        <v>85</v>
      </c>
      <c r="L82" s="7">
        <v>3</v>
      </c>
      <c r="M82" s="7">
        <f t="shared" si="16"/>
        <v>88</v>
      </c>
      <c r="N82" s="17"/>
      <c r="O82" s="17"/>
      <c r="P82" s="2"/>
      <c r="Q82" s="2"/>
      <c r="R82" s="25"/>
      <c r="S82" s="2"/>
      <c r="T82" s="2"/>
    </row>
    <row r="83" spans="2:20" ht="20.100000000000001" customHeight="1" x14ac:dyDescent="0.25">
      <c r="B83" s="1">
        <v>4</v>
      </c>
      <c r="C83" s="6" t="s">
        <v>47</v>
      </c>
      <c r="D83" s="5" t="s">
        <v>51</v>
      </c>
      <c r="E83" s="6"/>
      <c r="F83" s="6"/>
      <c r="G83" s="9"/>
      <c r="H83" s="16" t="s">
        <v>102</v>
      </c>
      <c r="I83" s="17">
        <v>50</v>
      </c>
      <c r="J83" s="17">
        <v>1</v>
      </c>
      <c r="K83" s="17">
        <f t="shared" si="15"/>
        <v>50</v>
      </c>
      <c r="L83" s="7">
        <v>3</v>
      </c>
      <c r="M83" s="7">
        <f t="shared" si="16"/>
        <v>53</v>
      </c>
      <c r="N83" s="17"/>
      <c r="O83" s="17"/>
      <c r="P83" s="2"/>
      <c r="Q83" s="2"/>
      <c r="R83" s="25"/>
      <c r="S83" s="2"/>
      <c r="T83" s="2"/>
    </row>
    <row r="84" spans="2:20" ht="20.100000000000001" customHeight="1" x14ac:dyDescent="0.25">
      <c r="B84" s="1">
        <v>5</v>
      </c>
      <c r="C84" s="6" t="s">
        <v>47</v>
      </c>
      <c r="D84" s="5" t="s">
        <v>52</v>
      </c>
      <c r="E84" s="6"/>
      <c r="F84" s="6"/>
      <c r="G84" s="9"/>
      <c r="H84" s="16" t="s">
        <v>102</v>
      </c>
      <c r="I84" s="17">
        <v>70</v>
      </c>
      <c r="J84" s="17">
        <v>1</v>
      </c>
      <c r="K84" s="17">
        <f t="shared" si="15"/>
        <v>70</v>
      </c>
      <c r="L84" s="7">
        <v>3</v>
      </c>
      <c r="M84" s="7">
        <f t="shared" si="16"/>
        <v>73</v>
      </c>
      <c r="N84" s="17"/>
      <c r="O84" s="17"/>
      <c r="P84" s="2"/>
      <c r="Q84" s="2"/>
      <c r="R84" s="25"/>
      <c r="S84" s="2"/>
      <c r="T84" s="2"/>
    </row>
    <row r="85" spans="2:20" ht="20.100000000000001" customHeight="1" x14ac:dyDescent="0.25">
      <c r="B85" s="1">
        <v>6</v>
      </c>
      <c r="C85" s="6" t="s">
        <v>47</v>
      </c>
      <c r="D85" s="5" t="s">
        <v>46</v>
      </c>
      <c r="E85" s="6"/>
      <c r="F85" s="6"/>
      <c r="G85" s="9"/>
      <c r="H85" s="16" t="s">
        <v>102</v>
      </c>
      <c r="I85" s="17">
        <v>135</v>
      </c>
      <c r="J85" s="17">
        <v>1</v>
      </c>
      <c r="K85" s="17">
        <f t="shared" si="15"/>
        <v>135</v>
      </c>
      <c r="L85" s="7">
        <v>3</v>
      </c>
      <c r="M85" s="7">
        <f t="shared" si="16"/>
        <v>138</v>
      </c>
      <c r="N85" s="17"/>
      <c r="O85" s="17"/>
      <c r="P85" s="2"/>
      <c r="Q85" s="2"/>
      <c r="R85" s="25"/>
      <c r="S85" s="2"/>
      <c r="T85" s="2"/>
    </row>
    <row r="86" spans="2:20" ht="20.100000000000001" customHeight="1" x14ac:dyDescent="0.25">
      <c r="B86" s="1">
        <v>7</v>
      </c>
      <c r="C86" s="6" t="s">
        <v>47</v>
      </c>
      <c r="D86" s="5" t="s">
        <v>53</v>
      </c>
      <c r="E86" s="6"/>
      <c r="F86" s="6"/>
      <c r="G86" s="9"/>
      <c r="H86" s="16" t="s">
        <v>102</v>
      </c>
      <c r="I86" s="17">
        <v>100</v>
      </c>
      <c r="J86" s="17">
        <v>1</v>
      </c>
      <c r="K86" s="17">
        <f t="shared" si="15"/>
        <v>100</v>
      </c>
      <c r="L86" s="7">
        <v>3</v>
      </c>
      <c r="M86" s="7">
        <f t="shared" si="16"/>
        <v>103</v>
      </c>
      <c r="N86" s="17"/>
      <c r="O86" s="17"/>
      <c r="P86" s="2"/>
      <c r="Q86" s="2"/>
      <c r="R86" s="25"/>
      <c r="S86" s="2"/>
      <c r="T86" s="2"/>
    </row>
    <row r="87" spans="2:20" ht="20.100000000000001" customHeight="1" x14ac:dyDescent="0.25">
      <c r="B87" s="1">
        <v>8</v>
      </c>
      <c r="C87" s="6" t="s">
        <v>47</v>
      </c>
      <c r="D87" s="5" t="s">
        <v>54</v>
      </c>
      <c r="E87" s="6"/>
      <c r="F87" s="6"/>
      <c r="G87" s="9"/>
      <c r="H87" s="16" t="s">
        <v>102</v>
      </c>
      <c r="I87" s="17">
        <v>75</v>
      </c>
      <c r="J87" s="17">
        <v>1</v>
      </c>
      <c r="K87" s="17">
        <f t="shared" si="15"/>
        <v>75</v>
      </c>
      <c r="L87" s="7">
        <v>3</v>
      </c>
      <c r="M87" s="7">
        <f t="shared" si="16"/>
        <v>78</v>
      </c>
      <c r="N87" s="17"/>
      <c r="O87" s="17"/>
      <c r="P87" s="2"/>
      <c r="Q87" s="2"/>
      <c r="R87" s="25"/>
      <c r="S87" s="2"/>
      <c r="T87" s="2"/>
    </row>
    <row r="88" spans="2:20" ht="20.100000000000001" customHeight="1" x14ac:dyDescent="0.25">
      <c r="B88" s="1">
        <v>9</v>
      </c>
      <c r="C88" s="6" t="s">
        <v>47</v>
      </c>
      <c r="D88" s="5" t="s">
        <v>55</v>
      </c>
      <c r="E88" s="6"/>
      <c r="F88" s="6"/>
      <c r="G88" s="9"/>
      <c r="H88" s="16" t="s">
        <v>102</v>
      </c>
      <c r="I88" s="17">
        <v>55</v>
      </c>
      <c r="J88" s="17">
        <v>1</v>
      </c>
      <c r="K88" s="17">
        <f t="shared" si="15"/>
        <v>55</v>
      </c>
      <c r="L88" s="7">
        <v>3</v>
      </c>
      <c r="M88" s="7">
        <f t="shared" si="16"/>
        <v>58</v>
      </c>
      <c r="N88" s="17"/>
      <c r="O88" s="17"/>
      <c r="P88" s="2"/>
      <c r="Q88" s="2"/>
      <c r="R88" s="25"/>
      <c r="S88" s="2"/>
      <c r="T88" s="2"/>
    </row>
    <row r="89" spans="2:20" ht="20.100000000000001" customHeight="1" x14ac:dyDescent="0.25">
      <c r="B89" s="1">
        <v>10</v>
      </c>
      <c r="C89" s="6" t="s">
        <v>47</v>
      </c>
      <c r="D89" s="5" t="s">
        <v>56</v>
      </c>
      <c r="E89" s="6"/>
      <c r="F89" s="6"/>
      <c r="G89" s="9"/>
      <c r="H89" s="16" t="s">
        <v>102</v>
      </c>
      <c r="I89" s="17">
        <v>85</v>
      </c>
      <c r="J89" s="17">
        <v>1</v>
      </c>
      <c r="K89" s="17">
        <f t="shared" si="15"/>
        <v>85</v>
      </c>
      <c r="L89" s="7">
        <v>3</v>
      </c>
      <c r="M89" s="7">
        <f t="shared" si="16"/>
        <v>88</v>
      </c>
      <c r="N89" s="17"/>
      <c r="O89" s="17"/>
      <c r="P89" s="2"/>
      <c r="Q89" s="2"/>
      <c r="R89" s="25"/>
      <c r="S89" s="2"/>
      <c r="T89" s="2"/>
    </row>
    <row r="90" spans="2:20" ht="20.100000000000001" customHeight="1" x14ac:dyDescent="0.25">
      <c r="B90" s="1">
        <v>11</v>
      </c>
      <c r="C90" s="6" t="s">
        <v>47</v>
      </c>
      <c r="D90" s="5" t="s">
        <v>57</v>
      </c>
      <c r="E90" s="6"/>
      <c r="F90" s="6"/>
      <c r="G90" s="9"/>
      <c r="H90" s="16" t="s">
        <v>102</v>
      </c>
      <c r="I90" s="17">
        <v>115</v>
      </c>
      <c r="J90" s="17">
        <v>1</v>
      </c>
      <c r="K90" s="17">
        <f t="shared" si="15"/>
        <v>115</v>
      </c>
      <c r="L90" s="7">
        <v>3</v>
      </c>
      <c r="M90" s="7">
        <f t="shared" si="16"/>
        <v>118</v>
      </c>
      <c r="N90" s="17"/>
      <c r="O90" s="17"/>
      <c r="P90" s="2"/>
      <c r="Q90" s="2"/>
      <c r="R90" s="25"/>
      <c r="S90" s="2"/>
      <c r="T90" s="2"/>
    </row>
    <row r="91" spans="2:20" ht="20.100000000000001" customHeight="1" x14ac:dyDescent="0.25">
      <c r="B91" s="1">
        <v>12</v>
      </c>
      <c r="C91" s="6" t="s">
        <v>47</v>
      </c>
      <c r="D91" s="5" t="s">
        <v>58</v>
      </c>
      <c r="E91" s="6"/>
      <c r="F91" s="6"/>
      <c r="G91" s="9"/>
      <c r="H91" s="16" t="s">
        <v>102</v>
      </c>
      <c r="I91" s="17">
        <v>145</v>
      </c>
      <c r="J91" s="17">
        <v>1</v>
      </c>
      <c r="K91" s="17">
        <f t="shared" si="15"/>
        <v>145</v>
      </c>
      <c r="L91" s="7">
        <v>3</v>
      </c>
      <c r="M91" s="7">
        <f t="shared" si="16"/>
        <v>148</v>
      </c>
      <c r="N91" s="17"/>
      <c r="O91" s="17"/>
      <c r="P91" s="2"/>
      <c r="Q91" s="2"/>
      <c r="R91" s="25"/>
      <c r="S91" s="2"/>
      <c r="T91" s="2"/>
    </row>
    <row r="92" spans="2:20" ht="15.6" customHeight="1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7"/>
      <c r="M92" s="2"/>
      <c r="N92" s="17"/>
      <c r="O92" s="17"/>
      <c r="P92" s="2"/>
      <c r="Q92" s="2"/>
      <c r="R92" s="25"/>
      <c r="S92" s="2"/>
      <c r="T92" s="2"/>
    </row>
    <row r="93" spans="2:20" ht="20.100000000000001" customHeight="1" x14ac:dyDescent="0.25">
      <c r="B93" s="1">
        <v>1</v>
      </c>
      <c r="C93" s="6" t="s">
        <v>59</v>
      </c>
      <c r="D93" s="5" t="s">
        <v>60</v>
      </c>
      <c r="E93" s="6"/>
      <c r="F93" s="6"/>
      <c r="G93" s="9"/>
      <c r="H93" s="16" t="s">
        <v>102</v>
      </c>
      <c r="I93" s="17">
        <v>170</v>
      </c>
      <c r="J93" s="17">
        <v>1</v>
      </c>
      <c r="K93" s="17">
        <f t="shared" ref="K93:K104" si="17">SUM(I93*J93)</f>
        <v>170</v>
      </c>
      <c r="L93" s="7">
        <v>3</v>
      </c>
      <c r="M93" s="7">
        <f t="shared" ref="M93:M104" si="18">SUM(K93:L93)</f>
        <v>173</v>
      </c>
      <c r="N93" s="17"/>
      <c r="O93" s="17"/>
      <c r="P93" s="2"/>
      <c r="Q93" s="2"/>
      <c r="R93" s="25"/>
      <c r="S93" s="2"/>
      <c r="T93" s="2"/>
    </row>
    <row r="94" spans="2:20" ht="20.100000000000001" customHeight="1" x14ac:dyDescent="0.25">
      <c r="B94" s="1">
        <v>2</v>
      </c>
      <c r="C94" s="6" t="s">
        <v>59</v>
      </c>
      <c r="D94" s="5" t="s">
        <v>61</v>
      </c>
      <c r="E94" s="6"/>
      <c r="F94" s="6"/>
      <c r="G94" s="9"/>
      <c r="H94" s="16" t="s">
        <v>102</v>
      </c>
      <c r="I94" s="17">
        <v>140</v>
      </c>
      <c r="J94" s="17">
        <v>1</v>
      </c>
      <c r="K94" s="17">
        <f t="shared" si="17"/>
        <v>140</v>
      </c>
      <c r="L94" s="7">
        <v>3</v>
      </c>
      <c r="M94" s="7">
        <f t="shared" si="18"/>
        <v>143</v>
      </c>
      <c r="N94" s="17"/>
      <c r="O94" s="17"/>
      <c r="P94" s="2"/>
      <c r="Q94" s="2"/>
      <c r="R94" s="25"/>
      <c r="S94" s="2"/>
      <c r="T94" s="2"/>
    </row>
    <row r="95" spans="2:20" ht="20.100000000000001" customHeight="1" x14ac:dyDescent="0.25">
      <c r="B95" s="1">
        <v>3</v>
      </c>
      <c r="C95" s="6" t="s">
        <v>59</v>
      </c>
      <c r="D95" s="5" t="s">
        <v>62</v>
      </c>
      <c r="E95" s="6"/>
      <c r="F95" s="6"/>
      <c r="G95" s="9"/>
      <c r="H95" s="16" t="s">
        <v>102</v>
      </c>
      <c r="I95" s="17">
        <v>110</v>
      </c>
      <c r="J95" s="17">
        <v>1</v>
      </c>
      <c r="K95" s="17">
        <f t="shared" si="17"/>
        <v>110</v>
      </c>
      <c r="L95" s="7">
        <v>3</v>
      </c>
      <c r="M95" s="7">
        <f t="shared" si="18"/>
        <v>113</v>
      </c>
      <c r="N95" s="17"/>
      <c r="O95" s="17"/>
      <c r="P95" s="2"/>
      <c r="Q95" s="2"/>
      <c r="R95" s="25"/>
      <c r="S95" s="2"/>
      <c r="T95" s="2"/>
    </row>
    <row r="96" spans="2:20" ht="20.100000000000001" customHeight="1" x14ac:dyDescent="0.25">
      <c r="B96" s="1">
        <v>4</v>
      </c>
      <c r="C96" s="6" t="s">
        <v>59</v>
      </c>
      <c r="D96" s="5" t="s">
        <v>63</v>
      </c>
      <c r="E96" s="6"/>
      <c r="F96" s="6"/>
      <c r="G96" s="9"/>
      <c r="H96" s="16" t="s">
        <v>102</v>
      </c>
      <c r="I96" s="17">
        <v>80</v>
      </c>
      <c r="J96" s="17">
        <v>1</v>
      </c>
      <c r="K96" s="17">
        <f t="shared" si="17"/>
        <v>80</v>
      </c>
      <c r="L96" s="7">
        <v>3</v>
      </c>
      <c r="M96" s="7">
        <f t="shared" si="18"/>
        <v>83</v>
      </c>
      <c r="N96" s="17"/>
      <c r="O96" s="17"/>
      <c r="P96" s="2"/>
      <c r="Q96" s="2"/>
      <c r="R96" s="25"/>
      <c r="S96" s="2"/>
      <c r="T96" s="2"/>
    </row>
    <row r="97" spans="1:20" ht="20.100000000000001" customHeight="1" x14ac:dyDescent="0.25">
      <c r="B97" s="1">
        <v>5</v>
      </c>
      <c r="C97" s="6" t="s">
        <v>59</v>
      </c>
      <c r="D97" s="5" t="s">
        <v>64</v>
      </c>
      <c r="E97" s="6"/>
      <c r="F97" s="6"/>
      <c r="G97" s="9"/>
      <c r="H97" s="16" t="s">
        <v>102</v>
      </c>
      <c r="I97" s="17">
        <v>55</v>
      </c>
      <c r="J97" s="17">
        <v>1</v>
      </c>
      <c r="K97" s="17">
        <f t="shared" si="17"/>
        <v>55</v>
      </c>
      <c r="L97" s="7">
        <v>3</v>
      </c>
      <c r="M97" s="7">
        <f t="shared" si="18"/>
        <v>58</v>
      </c>
      <c r="N97" s="17"/>
      <c r="O97" s="17"/>
      <c r="P97" s="2"/>
      <c r="Q97" s="2"/>
      <c r="R97" s="25"/>
      <c r="S97" s="2"/>
      <c r="T97" s="2"/>
    </row>
    <row r="98" spans="1:20" ht="20.100000000000001" customHeight="1" x14ac:dyDescent="0.25">
      <c r="B98" s="1">
        <v>6</v>
      </c>
      <c r="C98" s="6" t="s">
        <v>59</v>
      </c>
      <c r="D98" s="5" t="s">
        <v>65</v>
      </c>
      <c r="E98" s="6"/>
      <c r="F98" s="6"/>
      <c r="G98" s="9"/>
      <c r="H98" s="16" t="s">
        <v>102</v>
      </c>
      <c r="I98" s="17">
        <v>75</v>
      </c>
      <c r="J98" s="17">
        <v>1</v>
      </c>
      <c r="K98" s="17">
        <f t="shared" si="17"/>
        <v>75</v>
      </c>
      <c r="L98" s="7">
        <v>3</v>
      </c>
      <c r="M98" s="7">
        <f t="shared" si="18"/>
        <v>78</v>
      </c>
      <c r="N98" s="17"/>
      <c r="O98" s="17"/>
      <c r="P98" s="2"/>
      <c r="Q98" s="2"/>
      <c r="R98" s="25"/>
      <c r="S98" s="2"/>
      <c r="T98" s="2"/>
    </row>
    <row r="99" spans="1:20" ht="20.100000000000001" customHeight="1" x14ac:dyDescent="0.25">
      <c r="B99" s="1">
        <v>7</v>
      </c>
      <c r="C99" s="6" t="s">
        <v>59</v>
      </c>
      <c r="D99" s="5" t="s">
        <v>66</v>
      </c>
      <c r="E99" s="6"/>
      <c r="F99" s="6"/>
      <c r="G99" s="9"/>
      <c r="H99" s="16" t="s">
        <v>102</v>
      </c>
      <c r="I99" s="17">
        <v>100</v>
      </c>
      <c r="J99" s="17">
        <v>1</v>
      </c>
      <c r="K99" s="17">
        <f t="shared" si="17"/>
        <v>100</v>
      </c>
      <c r="L99" s="7">
        <v>3</v>
      </c>
      <c r="M99" s="7">
        <f t="shared" si="18"/>
        <v>103</v>
      </c>
      <c r="N99" s="17"/>
      <c r="O99" s="17"/>
      <c r="P99" s="2"/>
      <c r="Q99" s="2"/>
      <c r="R99" s="25"/>
      <c r="S99" s="2"/>
      <c r="T99" s="2"/>
    </row>
    <row r="100" spans="1:20" ht="20.100000000000001" customHeight="1" x14ac:dyDescent="0.25">
      <c r="B100" s="1">
        <v>8</v>
      </c>
      <c r="C100" s="6" t="s">
        <v>59</v>
      </c>
      <c r="D100" s="5" t="s">
        <v>67</v>
      </c>
      <c r="E100" s="6"/>
      <c r="F100" s="6"/>
      <c r="G100" s="9"/>
      <c r="H100" s="16" t="s">
        <v>102</v>
      </c>
      <c r="I100" s="17">
        <v>135</v>
      </c>
      <c r="J100" s="17">
        <v>1</v>
      </c>
      <c r="K100" s="17">
        <f t="shared" si="17"/>
        <v>135</v>
      </c>
      <c r="L100" s="7">
        <v>3</v>
      </c>
      <c r="M100" s="7">
        <f t="shared" si="18"/>
        <v>138</v>
      </c>
      <c r="N100" s="17"/>
      <c r="O100" s="17"/>
      <c r="P100" s="2"/>
      <c r="Q100" s="2"/>
      <c r="R100" s="25"/>
      <c r="S100" s="2"/>
      <c r="T100" s="2"/>
    </row>
    <row r="101" spans="1:20" ht="20.100000000000001" customHeight="1" x14ac:dyDescent="0.25">
      <c r="B101" s="1">
        <v>9</v>
      </c>
      <c r="C101" s="6" t="s">
        <v>59</v>
      </c>
      <c r="D101" s="5" t="s">
        <v>68</v>
      </c>
      <c r="E101" s="6"/>
      <c r="F101" s="6"/>
      <c r="G101" s="9"/>
      <c r="H101" s="16" t="s">
        <v>102</v>
      </c>
      <c r="I101" s="17">
        <v>130</v>
      </c>
      <c r="J101" s="17">
        <v>1</v>
      </c>
      <c r="K101" s="17">
        <f t="shared" si="17"/>
        <v>130</v>
      </c>
      <c r="L101" s="7">
        <v>3</v>
      </c>
      <c r="M101" s="7">
        <f t="shared" si="18"/>
        <v>133</v>
      </c>
      <c r="N101" s="17"/>
      <c r="O101" s="17"/>
      <c r="P101" s="2"/>
      <c r="Q101" s="2"/>
      <c r="R101" s="25"/>
      <c r="S101" s="2"/>
      <c r="T101" s="2"/>
    </row>
    <row r="102" spans="1:20" ht="20.100000000000001" customHeight="1" x14ac:dyDescent="0.25">
      <c r="B102" s="1">
        <v>10</v>
      </c>
      <c r="C102" s="6" t="s">
        <v>59</v>
      </c>
      <c r="D102" s="5" t="s">
        <v>69</v>
      </c>
      <c r="E102" s="6"/>
      <c r="F102" s="6"/>
      <c r="G102" s="9"/>
      <c r="H102" s="16" t="s">
        <v>102</v>
      </c>
      <c r="I102" s="17">
        <v>100</v>
      </c>
      <c r="J102" s="17">
        <v>1</v>
      </c>
      <c r="K102" s="17">
        <f t="shared" si="17"/>
        <v>100</v>
      </c>
      <c r="L102" s="7">
        <v>3</v>
      </c>
      <c r="M102" s="7">
        <f t="shared" si="18"/>
        <v>103</v>
      </c>
      <c r="N102" s="17"/>
      <c r="O102" s="17"/>
      <c r="P102" s="2"/>
      <c r="Q102" s="2"/>
      <c r="R102" s="25"/>
      <c r="S102" s="2"/>
      <c r="T102" s="2"/>
    </row>
    <row r="103" spans="1:20" ht="20.100000000000001" customHeight="1" x14ac:dyDescent="0.25">
      <c r="B103" s="1">
        <v>11</v>
      </c>
      <c r="C103" s="6" t="s">
        <v>59</v>
      </c>
      <c r="D103" s="5" t="s">
        <v>70</v>
      </c>
      <c r="E103" s="6"/>
      <c r="F103" s="6"/>
      <c r="G103" s="9"/>
      <c r="H103" s="16" t="s">
        <v>102</v>
      </c>
      <c r="I103" s="17">
        <v>70</v>
      </c>
      <c r="J103" s="17">
        <v>1</v>
      </c>
      <c r="K103" s="17">
        <f t="shared" si="17"/>
        <v>70</v>
      </c>
      <c r="L103" s="7">
        <v>3</v>
      </c>
      <c r="M103" s="7">
        <f t="shared" si="18"/>
        <v>73</v>
      </c>
      <c r="N103" s="17"/>
      <c r="O103" s="17"/>
      <c r="P103" s="2"/>
      <c r="Q103" s="2"/>
      <c r="R103" s="25"/>
      <c r="S103" s="2"/>
      <c r="T103" s="2"/>
    </row>
    <row r="104" spans="1:20" ht="20.100000000000001" customHeight="1" x14ac:dyDescent="0.25">
      <c r="B104" s="1">
        <v>12</v>
      </c>
      <c r="C104" s="6" t="s">
        <v>59</v>
      </c>
      <c r="D104" s="5" t="s">
        <v>71</v>
      </c>
      <c r="E104" s="6"/>
      <c r="F104" s="6"/>
      <c r="G104" s="9"/>
      <c r="H104" s="16" t="s">
        <v>102</v>
      </c>
      <c r="I104" s="17">
        <v>50</v>
      </c>
      <c r="J104" s="17">
        <v>1</v>
      </c>
      <c r="K104" s="17">
        <f t="shared" si="17"/>
        <v>50</v>
      </c>
      <c r="L104" s="7">
        <v>3</v>
      </c>
      <c r="M104" s="7">
        <f t="shared" si="18"/>
        <v>53</v>
      </c>
      <c r="N104" s="17"/>
      <c r="O104" s="17"/>
      <c r="P104" s="2"/>
      <c r="Q104" s="2"/>
      <c r="R104" s="25"/>
      <c r="S104" s="2"/>
      <c r="T104" s="2"/>
    </row>
    <row r="105" spans="1:20" ht="20.100000000000001" customHeight="1" x14ac:dyDescent="0.25">
      <c r="B105" s="1">
        <v>13</v>
      </c>
      <c r="C105" s="6" t="s">
        <v>59</v>
      </c>
      <c r="D105" s="5" t="s">
        <v>72</v>
      </c>
      <c r="E105" s="2"/>
      <c r="F105" s="2"/>
      <c r="G105" s="2"/>
      <c r="H105" s="16" t="s">
        <v>102</v>
      </c>
      <c r="I105" s="17">
        <v>80</v>
      </c>
      <c r="J105" s="17">
        <v>1</v>
      </c>
      <c r="K105" s="17">
        <f t="shared" ref="K105:K106" si="19">SUM(I105*J105)</f>
        <v>80</v>
      </c>
      <c r="L105" s="7">
        <v>3</v>
      </c>
      <c r="M105" s="7">
        <f t="shared" ref="M105:M106" si="20">SUM(K105:L105)</f>
        <v>83</v>
      </c>
      <c r="N105" s="17"/>
      <c r="O105" s="17"/>
      <c r="P105" s="2"/>
      <c r="Q105" s="2"/>
      <c r="R105" s="25"/>
      <c r="S105" s="2"/>
      <c r="T105" s="2"/>
    </row>
    <row r="106" spans="1:20" ht="20.100000000000001" customHeight="1" x14ac:dyDescent="0.25">
      <c r="B106" s="1">
        <v>14</v>
      </c>
      <c r="C106" s="6" t="s">
        <v>59</v>
      </c>
      <c r="D106" s="5" t="s">
        <v>73</v>
      </c>
      <c r="E106" s="2"/>
      <c r="F106" s="2"/>
      <c r="G106" s="2"/>
      <c r="H106" s="16" t="s">
        <v>102</v>
      </c>
      <c r="I106" s="17">
        <v>110</v>
      </c>
      <c r="J106" s="17">
        <v>1</v>
      </c>
      <c r="K106" s="17">
        <f t="shared" si="19"/>
        <v>110</v>
      </c>
      <c r="L106" s="7">
        <v>3</v>
      </c>
      <c r="M106" s="7">
        <f t="shared" si="20"/>
        <v>113</v>
      </c>
      <c r="N106" s="17"/>
      <c r="O106" s="17"/>
      <c r="P106" s="2"/>
      <c r="Q106" s="2"/>
      <c r="R106" s="25"/>
      <c r="S106" s="2"/>
      <c r="T106" s="2"/>
    </row>
    <row r="107" spans="1:20" ht="20.100000000000001" customHeight="1" x14ac:dyDescent="0.25">
      <c r="B107" s="1">
        <v>15</v>
      </c>
      <c r="C107" s="6" t="s">
        <v>59</v>
      </c>
      <c r="D107" s="5" t="s">
        <v>74</v>
      </c>
      <c r="E107" s="2"/>
      <c r="F107" s="2"/>
      <c r="G107" s="2"/>
      <c r="H107" s="16" t="s">
        <v>102</v>
      </c>
      <c r="I107" s="17">
        <v>140</v>
      </c>
      <c r="J107" s="17">
        <v>1</v>
      </c>
      <c r="K107" s="17">
        <f t="shared" ref="K107:K108" si="21">SUM(I107*J107)</f>
        <v>140</v>
      </c>
      <c r="L107" s="7">
        <v>3</v>
      </c>
      <c r="M107" s="7">
        <f t="shared" ref="M107:M108" si="22">SUM(K107:L107)</f>
        <v>143</v>
      </c>
      <c r="N107" s="17"/>
      <c r="O107" s="17"/>
      <c r="P107" s="2"/>
      <c r="Q107" s="2"/>
      <c r="R107" s="25"/>
      <c r="S107" s="2"/>
      <c r="T107" s="2"/>
    </row>
    <row r="108" spans="1:20" ht="20.100000000000001" customHeight="1" x14ac:dyDescent="0.25">
      <c r="B108" s="1">
        <v>16</v>
      </c>
      <c r="C108" s="6" t="s">
        <v>59</v>
      </c>
      <c r="D108" s="5" t="s">
        <v>75</v>
      </c>
      <c r="E108" s="2"/>
      <c r="F108" s="2"/>
      <c r="G108" s="2"/>
      <c r="H108" s="16" t="s">
        <v>102</v>
      </c>
      <c r="I108" s="17">
        <v>170</v>
      </c>
      <c r="J108" s="17">
        <v>1</v>
      </c>
      <c r="K108" s="17">
        <f t="shared" si="21"/>
        <v>170</v>
      </c>
      <c r="L108" s="7">
        <v>3</v>
      </c>
      <c r="M108" s="7">
        <f t="shared" si="22"/>
        <v>173</v>
      </c>
      <c r="N108" s="17"/>
      <c r="O108" s="17"/>
      <c r="P108" s="2"/>
      <c r="Q108" s="2"/>
      <c r="R108" s="25"/>
      <c r="S108" s="2"/>
      <c r="T108" s="2"/>
    </row>
    <row r="109" spans="1:20" ht="20.100000000000001" customHeight="1" x14ac:dyDescent="0.25">
      <c r="B109" s="2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1">
        <f>SUM(M53:M108)</f>
        <v>5769</v>
      </c>
      <c r="N109" s="17"/>
      <c r="O109" s="17"/>
      <c r="P109" s="2"/>
      <c r="Q109" s="2"/>
      <c r="R109" s="25"/>
      <c r="S109" s="2"/>
      <c r="T109" s="2"/>
    </row>
    <row r="110" spans="1:20" ht="20.100000000000001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7"/>
      <c r="O110" s="17"/>
      <c r="P110" s="2"/>
      <c r="Q110" s="2"/>
      <c r="R110" s="25"/>
      <c r="S110" s="2"/>
      <c r="T110" s="2"/>
    </row>
  </sheetData>
  <mergeCells count="6">
    <mergeCell ref="N4:T6"/>
    <mergeCell ref="C2:I2"/>
    <mergeCell ref="C1:K1"/>
    <mergeCell ref="C3:I3"/>
    <mergeCell ref="C4:I4"/>
    <mergeCell ref="C5:I5"/>
  </mergeCells>
  <phoneticPr fontId="6" type="noConversion"/>
  <printOptions horizontalCentered="1"/>
  <pageMargins left="0.31496062992125984" right="0" top="0.78740157480314965" bottom="0.11811023622047245" header="0.31496062992125984" footer="0.31496062992125984"/>
  <pageSetup paperSize="9" scale="92" fitToHeight="0" orientation="landscape" r:id="rId1"/>
  <rowBreaks count="3" manualBreakCount="3">
    <brk id="26" max="12" man="1"/>
    <brk id="50" max="12" man="1"/>
    <brk id="92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CABLE SCHEDULE</vt:lpstr>
      <vt:lpstr>'CABLE SCHEDULE'!Print_Area</vt:lpstr>
      <vt:lpstr>'CABLE SCHEDULE'!Print_Titles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2026-06-02T11:46:11Z</dcterms:modified>
</cp:coreProperties>
</file>