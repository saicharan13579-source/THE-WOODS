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560" windowHeight="11460"/>
  </bookViews>
  <sheets>
    <sheet name="LOADS SHEET" sheetId="1" r:id="rId1"/>
  </sheets>
  <definedNames>
    <definedName name="_xlnm.Print_Area" localSheetId="0">'LOADS SHEET'!$A$1:$G$25</definedName>
    <definedName name="_xlnm.Print_Titles" localSheetId="0">'LOADS SHEET'!$7:$7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E16" i="1"/>
  <c r="G9" i="1" l="1"/>
  <c r="G13" i="1"/>
  <c r="G14" i="1"/>
  <c r="G8" i="1"/>
  <c r="G11" i="1" l="1"/>
  <c r="G15" i="1"/>
  <c r="G24" i="1"/>
  <c r="G16" i="1" l="1"/>
  <c r="G17" i="1" s="1"/>
  <c r="G18" i="1" s="1"/>
</calcChain>
</file>

<file path=xl/sharedStrings.xml><?xml version="1.0" encoding="utf-8"?>
<sst xmlns="http://schemas.openxmlformats.org/spreadsheetml/2006/main" count="31" uniqueCount="25">
  <si>
    <t>FROM</t>
  </si>
  <si>
    <t>TO</t>
  </si>
  <si>
    <t>S.NO</t>
  </si>
  <si>
    <t>No.Of Villas</t>
  </si>
  <si>
    <t>TOTAL LOAD</t>
  </si>
  <si>
    <t>MAIN PCC PANEL</t>
  </si>
  <si>
    <t>COMMON SERVICES PANEL</t>
  </si>
  <si>
    <t>FEEDER PILLAR-1 (1-12,12A)</t>
  </si>
  <si>
    <t>FEEDER PILLAR-4 (38-53)</t>
  </si>
  <si>
    <t xml:space="preserve">Assuming a load factor of 80% and power factor at 0.8, total Load would be </t>
  </si>
  <si>
    <t>FEEDER PILLAR-2 (19-30)</t>
  </si>
  <si>
    <t>FEEDER PILLAR-3 (14-18+31-37)</t>
  </si>
  <si>
    <t>TITLE : ELECTRICAL LOAD PARTICULARS SHEET</t>
  </si>
  <si>
    <t>DG LOADS</t>
  </si>
  <si>
    <t>EB LOADS</t>
  </si>
  <si>
    <t>CL LOAD in KW for Villa</t>
  </si>
  <si>
    <t>CL LOAD in KW</t>
  </si>
  <si>
    <t>By applying a power factor of 0.9 on the overall load, the continuous load in would be in KVA</t>
  </si>
  <si>
    <t>Recommended size of the Transformer would be 2nos.100 KVA,11kV/433V outdoor CSP Transformer.</t>
  </si>
  <si>
    <t>Diversity factor 75% Total Load in KW</t>
  </si>
  <si>
    <t>DATE:01-06-2026</t>
  </si>
  <si>
    <t>DG PANEL</t>
  </si>
  <si>
    <t>CLUB HOUSE PANEL</t>
  </si>
  <si>
    <t>Recommended size of the D.G Set would be 100 kVA, 415V, 0.8 pf  D.G Set with acoustic</t>
  </si>
  <si>
    <t>PROJECT : PROPOSED WOODS VILLAS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</si>
</sst>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2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5400"/>
      <color rgb="FF006600"/>
      <color rgb="FF003600"/>
      <color rgb="FFFF0066"/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tabSelected="1" view="pageBreakPreview" zoomScaleSheetLayoutView="100" workbookViewId="0">
      <selection activeCell="G13" sqref="G13"/>
    </sheetView>
  </sheetViews>
  <sheetFormatPr defaultRowHeight="15" x14ac:dyDescent="0.25"/>
  <cols>
    <col min="1" max="1" width="2" customWidth="1"/>
    <col min="2" max="2" width="5.42578125" customWidth="1"/>
    <col min="3" max="3" width="27.140625" customWidth="1"/>
    <col min="4" max="4" width="41.42578125" customWidth="1"/>
    <col min="5" max="5" width="9.42578125" customWidth="1"/>
    <col min="6" max="6" width="9" customWidth="1"/>
    <col min="7" max="7" width="6.42578125" customWidth="1"/>
  </cols>
  <sheetData>
    <row r="1" spans="2:7" ht="12" customHeight="1" x14ac:dyDescent="0.25">
      <c r="B1" s="1"/>
      <c r="C1" s="19"/>
      <c r="D1" s="20"/>
      <c r="E1" s="20"/>
      <c r="F1" s="20"/>
      <c r="G1" s="20"/>
    </row>
    <row r="2" spans="2:7" ht="24" customHeight="1" x14ac:dyDescent="0.25">
      <c r="B2" s="2"/>
      <c r="C2" s="17" t="s">
        <v>24</v>
      </c>
      <c r="D2" s="18"/>
      <c r="E2" s="18"/>
      <c r="F2" s="18"/>
      <c r="G2" s="18"/>
    </row>
    <row r="3" spans="2:7" ht="36.75" customHeight="1" x14ac:dyDescent="0.25">
      <c r="B3" s="2"/>
      <c r="C3" s="17"/>
      <c r="D3" s="18"/>
      <c r="E3" s="18"/>
      <c r="F3" s="18"/>
      <c r="G3" s="18"/>
    </row>
    <row r="4" spans="2:7" ht="17.45" customHeight="1" x14ac:dyDescent="0.25">
      <c r="B4" s="2"/>
      <c r="C4" s="17" t="s">
        <v>12</v>
      </c>
      <c r="D4" s="18"/>
      <c r="E4" s="18"/>
      <c r="F4" s="18"/>
      <c r="G4" s="18"/>
    </row>
    <row r="5" spans="2:7" ht="18.75" customHeight="1" x14ac:dyDescent="0.25">
      <c r="B5" s="2"/>
      <c r="C5" s="17" t="s">
        <v>20</v>
      </c>
      <c r="D5" s="18"/>
      <c r="E5" s="18"/>
      <c r="F5" s="18"/>
      <c r="G5" s="18"/>
    </row>
    <row r="6" spans="2:7" ht="18.95" customHeight="1" x14ac:dyDescent="0.25">
      <c r="B6" s="21" t="s">
        <v>14</v>
      </c>
      <c r="C6" s="22"/>
      <c r="D6" s="22"/>
      <c r="E6" s="22"/>
      <c r="F6" s="22"/>
      <c r="G6" s="23"/>
    </row>
    <row r="7" spans="2:7" ht="44.45" customHeight="1" x14ac:dyDescent="0.25">
      <c r="B7" s="3" t="s">
        <v>2</v>
      </c>
      <c r="C7" s="3" t="s">
        <v>0</v>
      </c>
      <c r="D7" s="3" t="s">
        <v>1</v>
      </c>
      <c r="E7" s="4" t="s">
        <v>3</v>
      </c>
      <c r="F7" s="4" t="s">
        <v>15</v>
      </c>
      <c r="G7" s="4" t="s">
        <v>16</v>
      </c>
    </row>
    <row r="8" spans="2:7" ht="20.100000000000001" customHeight="1" x14ac:dyDescent="0.25">
      <c r="B8" s="5">
        <v>1</v>
      </c>
      <c r="C8" s="6" t="s">
        <v>5</v>
      </c>
      <c r="D8" s="8" t="s">
        <v>7</v>
      </c>
      <c r="E8" s="5">
        <v>13</v>
      </c>
      <c r="F8" s="5">
        <v>3</v>
      </c>
      <c r="G8" s="7">
        <f>SUM(E8*F8)</f>
        <v>39</v>
      </c>
    </row>
    <row r="9" spans="2:7" ht="20.100000000000001" customHeight="1" x14ac:dyDescent="0.25">
      <c r="B9" s="5">
        <v>2</v>
      </c>
      <c r="C9" s="6" t="s">
        <v>5</v>
      </c>
      <c r="D9" s="8" t="s">
        <v>10</v>
      </c>
      <c r="E9" s="5">
        <v>12</v>
      </c>
      <c r="F9" s="5">
        <v>3</v>
      </c>
      <c r="G9" s="7">
        <f t="shared" ref="G9:G14" si="0">SUM(E9*F9)</f>
        <v>36</v>
      </c>
    </row>
    <row r="10" spans="2:7" ht="20.100000000000001" customHeight="1" x14ac:dyDescent="0.25">
      <c r="B10" s="5">
        <v>3</v>
      </c>
      <c r="C10" s="6" t="s">
        <v>5</v>
      </c>
      <c r="D10" s="8" t="s">
        <v>6</v>
      </c>
      <c r="E10" s="5"/>
      <c r="F10" s="5"/>
      <c r="G10" s="7">
        <v>45</v>
      </c>
    </row>
    <row r="11" spans="2:7" ht="16.5" customHeight="1" x14ac:dyDescent="0.25">
      <c r="B11" s="5"/>
      <c r="C11" s="6"/>
      <c r="D11" s="8"/>
      <c r="E11" s="5"/>
      <c r="F11" s="5"/>
      <c r="G11" s="7">
        <f>SUM(G8:G10)</f>
        <v>120</v>
      </c>
    </row>
    <row r="12" spans="2:7" ht="11.1" customHeight="1" x14ac:dyDescent="0.25">
      <c r="B12" s="5"/>
      <c r="C12" s="6"/>
      <c r="D12" s="8"/>
      <c r="E12" s="5"/>
      <c r="F12" s="5"/>
      <c r="G12" s="7"/>
    </row>
    <row r="13" spans="2:7" ht="20.100000000000001" customHeight="1" x14ac:dyDescent="0.25">
      <c r="B13" s="5">
        <v>3</v>
      </c>
      <c r="C13" s="6" t="s">
        <v>5</v>
      </c>
      <c r="D13" s="8" t="s">
        <v>11</v>
      </c>
      <c r="E13" s="5">
        <v>12</v>
      </c>
      <c r="F13" s="5">
        <v>3</v>
      </c>
      <c r="G13" s="7">
        <f t="shared" si="0"/>
        <v>36</v>
      </c>
    </row>
    <row r="14" spans="2:7" ht="18" customHeight="1" x14ac:dyDescent="0.25">
      <c r="B14" s="5">
        <v>4</v>
      </c>
      <c r="C14" s="6" t="s">
        <v>5</v>
      </c>
      <c r="D14" s="8" t="s">
        <v>8</v>
      </c>
      <c r="E14" s="5">
        <v>16</v>
      </c>
      <c r="F14" s="5">
        <v>3</v>
      </c>
      <c r="G14" s="7">
        <f t="shared" si="0"/>
        <v>48</v>
      </c>
    </row>
    <row r="15" spans="2:7" ht="16.5" customHeight="1" x14ac:dyDescent="0.25">
      <c r="B15" s="5"/>
      <c r="C15" s="6"/>
      <c r="D15" s="8"/>
      <c r="E15" s="5"/>
      <c r="F15" s="5"/>
      <c r="G15" s="7">
        <f>SUM(G13:G14)</f>
        <v>84</v>
      </c>
    </row>
    <row r="16" spans="2:7" ht="15.95" customHeight="1" x14ac:dyDescent="0.25">
      <c r="B16" s="5"/>
      <c r="C16" s="15" t="s">
        <v>4</v>
      </c>
      <c r="D16" s="16"/>
      <c r="E16" s="7">
        <f>SUM(E8:E15)</f>
        <v>53</v>
      </c>
      <c r="F16" s="8"/>
      <c r="G16" s="10">
        <f>SUM(G11+G15)</f>
        <v>204</v>
      </c>
    </row>
    <row r="17" spans="2:7" ht="15.95" customHeight="1" x14ac:dyDescent="0.25">
      <c r="B17" s="5"/>
      <c r="C17" s="15" t="s">
        <v>19</v>
      </c>
      <c r="D17" s="16"/>
      <c r="E17" s="9"/>
      <c r="F17" s="8"/>
      <c r="G17" s="10">
        <f>SUM(G16)*75%</f>
        <v>153</v>
      </c>
    </row>
    <row r="18" spans="2:7" ht="27.6" customHeight="1" x14ac:dyDescent="0.25">
      <c r="B18" s="5"/>
      <c r="C18" s="12" t="s">
        <v>17</v>
      </c>
      <c r="D18" s="13"/>
      <c r="E18" s="13"/>
      <c r="F18" s="14"/>
      <c r="G18" s="7">
        <f>SUM(G17)/0.9</f>
        <v>170</v>
      </c>
    </row>
    <row r="19" spans="2:7" ht="29.1" customHeight="1" x14ac:dyDescent="0.25">
      <c r="B19" s="5"/>
      <c r="C19" s="12" t="s">
        <v>18</v>
      </c>
      <c r="D19" s="13"/>
      <c r="E19" s="13"/>
      <c r="F19" s="14"/>
      <c r="G19" s="7"/>
    </row>
    <row r="20" spans="2:7" ht="17.100000000000001" customHeight="1" x14ac:dyDescent="0.25">
      <c r="B20" s="21" t="s">
        <v>13</v>
      </c>
      <c r="C20" s="22"/>
      <c r="D20" s="22"/>
      <c r="E20" s="22"/>
      <c r="F20" s="22"/>
      <c r="G20" s="23"/>
    </row>
    <row r="21" spans="2:7" ht="18" customHeight="1" x14ac:dyDescent="0.25">
      <c r="B21" s="5">
        <v>1</v>
      </c>
      <c r="C21" s="6" t="s">
        <v>21</v>
      </c>
      <c r="D21" s="8" t="s">
        <v>6</v>
      </c>
      <c r="E21" s="5"/>
      <c r="F21" s="5"/>
      <c r="G21" s="7">
        <v>35</v>
      </c>
    </row>
    <row r="22" spans="2:7" ht="18.95" customHeight="1" x14ac:dyDescent="0.25">
      <c r="B22" s="5">
        <v>2</v>
      </c>
      <c r="C22" s="6" t="s">
        <v>21</v>
      </c>
      <c r="D22" s="8" t="s">
        <v>22</v>
      </c>
      <c r="E22" s="5"/>
      <c r="F22" s="5"/>
      <c r="G22" s="7">
        <v>35</v>
      </c>
    </row>
    <row r="23" spans="2:7" ht="18" customHeight="1" x14ac:dyDescent="0.25">
      <c r="B23" s="5"/>
      <c r="C23" s="24"/>
      <c r="D23" s="25"/>
      <c r="E23" s="7"/>
      <c r="F23" s="8"/>
      <c r="G23" s="10">
        <f>SUM(G21:G22)</f>
        <v>70</v>
      </c>
    </row>
    <row r="24" spans="2:7" ht="21.95" customHeight="1" x14ac:dyDescent="0.25">
      <c r="B24" s="5"/>
      <c r="C24" s="12" t="s">
        <v>9</v>
      </c>
      <c r="D24" s="13"/>
      <c r="E24" s="14"/>
      <c r="F24" s="8"/>
      <c r="G24" s="11">
        <f>SUM(G23)/0.64</f>
        <v>109.375</v>
      </c>
    </row>
    <row r="25" spans="2:7" ht="24.95" customHeight="1" x14ac:dyDescent="0.25">
      <c r="B25" s="5"/>
      <c r="C25" s="12" t="s">
        <v>23</v>
      </c>
      <c r="D25" s="13"/>
      <c r="E25" s="14"/>
      <c r="F25" s="8"/>
      <c r="G25" s="7"/>
    </row>
  </sheetData>
  <mergeCells count="14">
    <mergeCell ref="C24:E24"/>
    <mergeCell ref="C25:E25"/>
    <mergeCell ref="C17:D17"/>
    <mergeCell ref="C2:G2"/>
    <mergeCell ref="C1:G1"/>
    <mergeCell ref="C3:G3"/>
    <mergeCell ref="C4:G4"/>
    <mergeCell ref="C5:G5"/>
    <mergeCell ref="B6:G6"/>
    <mergeCell ref="C16:D16"/>
    <mergeCell ref="C23:D23"/>
    <mergeCell ref="B20:G20"/>
    <mergeCell ref="C18:F18"/>
    <mergeCell ref="C19:F19"/>
  </mergeCells>
  <printOptions horizontalCentered="1"/>
  <pageMargins left="0.31496062992125984" right="0" top="0.78740157480314965" bottom="0.11811023622047245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LOADS SHEET</vt:lpstr>
      <vt:lpstr>'LOADS SHEET'!Print_Area</vt:lpstr>
      <vt:lpstr>'LOADS SHEET'!Print_Titles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2026-06-02T11:45:27Z</dcterms:modified>
</cp:coreProperties>
</file>